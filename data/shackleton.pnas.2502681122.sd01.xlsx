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lipovsky/Documents/allan-hills-stratigraphy/data/"/>
    </mc:Choice>
  </mc:AlternateContent>
  <xr:revisionPtr revIDLastSave="0" documentId="8_{876A48E5-3F72-2546-971F-0CAEAB8B2DD8}" xr6:coauthVersionLast="47" xr6:coauthVersionMax="47" xr10:uidLastSave="{00000000-0000-0000-0000-000000000000}"/>
  <bookViews>
    <workbookView xWindow="0" yWindow="760" windowWidth="28800" windowHeight="14740" activeTab="1" xr2:uid="{25E4BBCB-9D0E-AA43-AAB9-F9B920B0B711}"/>
  </bookViews>
  <sheets>
    <sheet name="Read Me" sheetId="4" r:id="rId1"/>
    <sheet name="Ar and Water isotopes" sheetId="1" r:id="rId2"/>
    <sheet name="Calculated Temperatur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K7" i="2" s="1"/>
  <c r="J8" i="2"/>
  <c r="K8" i="2" s="1"/>
  <c r="J9" i="2"/>
  <c r="K9" i="2" s="1"/>
  <c r="J10" i="2"/>
  <c r="K10" i="2" s="1"/>
  <c r="J11" i="2"/>
  <c r="K11" i="2" s="1"/>
  <c r="J12" i="2"/>
  <c r="J13" i="2"/>
  <c r="J14" i="2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J36" i="2"/>
  <c r="J37" i="2"/>
  <c r="J38" i="2"/>
  <c r="J39" i="2"/>
  <c r="K39" i="2" s="1"/>
  <c r="J40" i="2"/>
  <c r="K40" i="2" s="1"/>
  <c r="J41" i="2"/>
  <c r="K41" i="2" s="1"/>
  <c r="J42" i="2"/>
  <c r="K42" i="2" s="1"/>
  <c r="J43" i="2"/>
  <c r="K43" i="2" s="1"/>
  <c r="J44" i="2"/>
  <c r="J45" i="2"/>
  <c r="J46" i="2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J68" i="2"/>
  <c r="J69" i="2"/>
  <c r="J70" i="2"/>
  <c r="J71" i="2"/>
  <c r="K71" i="2" s="1"/>
  <c r="J72" i="2"/>
  <c r="K72" i="2" s="1"/>
  <c r="J73" i="2"/>
  <c r="K73" i="2" s="1"/>
  <c r="J74" i="2"/>
  <c r="K74" i="2" s="1"/>
  <c r="J75" i="2"/>
  <c r="K75" i="2" s="1"/>
  <c r="J76" i="2"/>
  <c r="J77" i="2"/>
  <c r="J78" i="2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J87" i="2"/>
  <c r="K87" i="2" s="1"/>
  <c r="J2" i="2"/>
  <c r="K2" i="2" s="1"/>
  <c r="M87" i="2" l="1"/>
  <c r="M86" i="2"/>
  <c r="L85" i="2"/>
  <c r="L53" i="2"/>
  <c r="L80" i="2"/>
  <c r="M78" i="2"/>
  <c r="M70" i="2"/>
  <c r="M62" i="2"/>
  <c r="M54" i="2"/>
  <c r="M46" i="2"/>
  <c r="M38" i="2"/>
  <c r="M30" i="2"/>
  <c r="M22" i="2"/>
  <c r="M14" i="2"/>
  <c r="M6" i="2"/>
  <c r="K70" i="2"/>
  <c r="L70" i="2" s="1"/>
  <c r="K38" i="2"/>
  <c r="L38" i="2" s="1"/>
  <c r="K6" i="2"/>
  <c r="L6" i="2" s="1"/>
  <c r="M85" i="2"/>
  <c r="M77" i="2"/>
  <c r="M69" i="2"/>
  <c r="M61" i="2"/>
  <c r="M53" i="2"/>
  <c r="M45" i="2"/>
  <c r="M37" i="2"/>
  <c r="M29" i="2"/>
  <c r="M21" i="2"/>
  <c r="M13" i="2"/>
  <c r="M5" i="2"/>
  <c r="K69" i="2"/>
  <c r="K37" i="2"/>
  <c r="L37" i="2" s="1"/>
  <c r="K5" i="2"/>
  <c r="L5" i="2" s="1"/>
  <c r="M84" i="2"/>
  <c r="M76" i="2"/>
  <c r="M68" i="2"/>
  <c r="M60" i="2"/>
  <c r="M52" i="2"/>
  <c r="M44" i="2"/>
  <c r="M36" i="2"/>
  <c r="M28" i="2"/>
  <c r="M20" i="2"/>
  <c r="M12" i="2"/>
  <c r="M4" i="2"/>
  <c r="K78" i="2"/>
  <c r="L78" i="2" s="1"/>
  <c r="K68" i="2"/>
  <c r="L68" i="2" s="1"/>
  <c r="K46" i="2"/>
  <c r="L46" i="2" s="1"/>
  <c r="K36" i="2"/>
  <c r="L36" i="2" s="1"/>
  <c r="K14" i="2"/>
  <c r="L14" i="2" s="1"/>
  <c r="K4" i="2"/>
  <c r="L4" i="2" s="1"/>
  <c r="M83" i="2"/>
  <c r="M75" i="2"/>
  <c r="M67" i="2"/>
  <c r="M59" i="2"/>
  <c r="M51" i="2"/>
  <c r="M43" i="2"/>
  <c r="M35" i="2"/>
  <c r="M27" i="2"/>
  <c r="M19" i="2"/>
  <c r="M11" i="2"/>
  <c r="M3" i="2"/>
  <c r="K77" i="2"/>
  <c r="L77" i="2" s="1"/>
  <c r="K67" i="2"/>
  <c r="L67" i="2" s="1"/>
  <c r="K45" i="2"/>
  <c r="L45" i="2" s="1"/>
  <c r="K35" i="2"/>
  <c r="L35" i="2" s="1"/>
  <c r="K13" i="2"/>
  <c r="L13" i="2" s="1"/>
  <c r="K3" i="2"/>
  <c r="L3" i="2" s="1"/>
  <c r="L24" i="2"/>
  <c r="K86" i="2"/>
  <c r="K76" i="2"/>
  <c r="L76" i="2" s="1"/>
  <c r="K54" i="2"/>
  <c r="L54" i="2" s="1"/>
  <c r="K44" i="2"/>
  <c r="L44" i="2" s="1"/>
  <c r="K22" i="2"/>
  <c r="L22" i="2" s="1"/>
  <c r="K12" i="2"/>
  <c r="L12" i="2" s="1"/>
  <c r="L21" i="2"/>
  <c r="L56" i="2"/>
  <c r="L8" i="2"/>
  <c r="L30" i="2"/>
  <c r="L63" i="2"/>
  <c r="L31" i="2"/>
  <c r="L72" i="2"/>
  <c r="L40" i="2"/>
  <c r="L20" i="2"/>
  <c r="L71" i="2"/>
  <c r="L39" i="2"/>
  <c r="L7" i="2"/>
  <c r="L60" i="2"/>
  <c r="L28" i="2"/>
  <c r="L69" i="2"/>
  <c r="L17" i="2"/>
  <c r="L49" i="2"/>
  <c r="L18" i="2"/>
  <c r="L50" i="2"/>
  <c r="L82" i="2"/>
  <c r="L25" i="2"/>
  <c r="L57" i="2"/>
  <c r="L81" i="2"/>
  <c r="L10" i="2"/>
  <c r="L58" i="2"/>
  <c r="L9" i="2"/>
  <c r="L41" i="2"/>
  <c r="L73" i="2"/>
  <c r="L42" i="2"/>
  <c r="L74" i="2"/>
  <c r="L2" i="2"/>
  <c r="L33" i="2"/>
  <c r="L65" i="2"/>
  <c r="L34" i="2"/>
  <c r="L66" i="2"/>
  <c r="L26" i="2"/>
  <c r="L11" i="2"/>
  <c r="L19" i="2"/>
  <c r="L27" i="2"/>
  <c r="L43" i="2"/>
  <c r="L51" i="2"/>
  <c r="L59" i="2"/>
  <c r="L75" i="2"/>
  <c r="L83" i="2"/>
  <c r="L84" i="2"/>
  <c r="L48" i="2"/>
  <c r="L16" i="2"/>
  <c r="L52" i="2"/>
  <c r="L79" i="2"/>
  <c r="L47" i="2"/>
  <c r="L23" i="2"/>
  <c r="L61" i="2"/>
  <c r="L64" i="2"/>
  <c r="L32" i="2"/>
  <c r="L62" i="2"/>
  <c r="L87" i="2"/>
  <c r="L55" i="2"/>
  <c r="L15" i="2"/>
  <c r="L29" i="2"/>
  <c r="L86" i="2"/>
  <c r="M82" i="2"/>
  <c r="M74" i="2"/>
  <c r="M66" i="2"/>
  <c r="M58" i="2"/>
  <c r="M50" i="2"/>
  <c r="M42" i="2"/>
  <c r="M34" i="2"/>
  <c r="M26" i="2"/>
  <c r="M18" i="2"/>
  <c r="M10" i="2"/>
  <c r="M81" i="2"/>
  <c r="M73" i="2"/>
  <c r="M65" i="2"/>
  <c r="M57" i="2"/>
  <c r="M49" i="2"/>
  <c r="M41" i="2"/>
  <c r="M33" i="2"/>
  <c r="M25" i="2"/>
  <c r="M17" i="2"/>
  <c r="M9" i="2"/>
  <c r="M64" i="2"/>
  <c r="M56" i="2"/>
  <c r="M48" i="2"/>
  <c r="M40" i="2"/>
  <c r="M32" i="2"/>
  <c r="M24" i="2"/>
  <c r="M16" i="2"/>
  <c r="M8" i="2"/>
  <c r="M63" i="2"/>
  <c r="M80" i="2"/>
  <c r="M2" i="2"/>
  <c r="M71" i="2"/>
  <c r="M47" i="2"/>
  <c r="M23" i="2"/>
  <c r="M72" i="2"/>
  <c r="M79" i="2"/>
  <c r="M55" i="2"/>
  <c r="M39" i="2"/>
  <c r="M31" i="2"/>
  <c r="M15" i="2"/>
  <c r="M7" i="2"/>
  <c r="H2" i="2" l="1"/>
  <c r="H87" i="2" l="1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<sst xmlns="http://schemas.openxmlformats.org/spreadsheetml/2006/main" count="843" uniqueCount="95">
  <si>
    <t>Core</t>
  </si>
  <si>
    <t>top depth</t>
  </si>
  <si>
    <t>std</t>
  </si>
  <si>
    <t>Age</t>
  </si>
  <si>
    <t>Relative err</t>
  </si>
  <si>
    <t>Absolute err</t>
  </si>
  <si>
    <t>dKrAr grav</t>
  </si>
  <si>
    <t>dxs</t>
  </si>
  <si>
    <t>snapshot</t>
  </si>
  <si>
    <t>(meters)</t>
  </si>
  <si>
    <t>(per mil)</t>
  </si>
  <si>
    <t>(Ma)</t>
  </si>
  <si>
    <t>ALHIC1502</t>
  </si>
  <si>
    <t>-</t>
  </si>
  <si>
    <t>short</t>
  </si>
  <si>
    <t>long</t>
  </si>
  <si>
    <t>ALHIC1503</t>
  </si>
  <si>
    <t>ALHIC1901</t>
  </si>
  <si>
    <t>ALHIC1902</t>
  </si>
  <si>
    <t>*</t>
  </si>
  <si>
    <t>**</t>
  </si>
  <si>
    <t>ALHIC1903</t>
  </si>
  <si>
    <t>Depth</t>
  </si>
  <si>
    <t>Age (Ma)</t>
  </si>
  <si>
    <t>alpha</t>
  </si>
  <si>
    <t>unc alpha</t>
  </si>
  <si>
    <t>Reference</t>
  </si>
  <si>
    <t>Yan et al., 2019</t>
  </si>
  <si>
    <t>this paper</t>
  </si>
  <si>
    <t>dXeKr grav</t>
  </si>
  <si>
    <t>Abstract</t>
  </si>
  <si>
    <t>Contributing authors</t>
  </si>
  <si>
    <t>Shackleton, S.</t>
  </si>
  <si>
    <t>Hishamunda, V.</t>
  </si>
  <si>
    <t>AVG of 1903</t>
  </si>
  <si>
    <t>d18O_swCorr (per mil)</t>
  </si>
  <si>
    <t>d18O (per mil)</t>
  </si>
  <si>
    <t>dD (per mil)</t>
  </si>
  <si>
    <t>dxs (per mil)</t>
  </si>
  <si>
    <t>Steig, E.</t>
  </si>
  <si>
    <t>Noble gases and water isotope data for Shackleton et al., (2025)</t>
  </si>
  <si>
    <t>Higgins, J.</t>
  </si>
  <si>
    <t>Bender, M.</t>
  </si>
  <si>
    <r>
      <rPr>
        <sz val="12"/>
        <color theme="1"/>
        <rFont val="Symbol"/>
        <family val="5"/>
        <charset val="2"/>
      </rPr>
      <t>d</t>
    </r>
    <r>
      <rPr>
        <vertAlign val="superscript"/>
        <sz val="12"/>
        <color theme="1"/>
        <rFont val="Aptos Narrow (Body)"/>
      </rPr>
      <t>40/38</t>
    </r>
    <r>
      <rPr>
        <sz val="12"/>
        <color theme="1"/>
        <rFont val="Aptos Narrow"/>
        <family val="2"/>
        <scheme val="minor"/>
      </rPr>
      <t>Ar</t>
    </r>
  </si>
  <si>
    <r>
      <rPr>
        <sz val="12"/>
        <color theme="1"/>
        <rFont val="Symbol"/>
        <family val="5"/>
        <charset val="2"/>
      </rPr>
      <t>d</t>
    </r>
    <r>
      <rPr>
        <vertAlign val="superscript"/>
        <sz val="12"/>
        <color theme="1"/>
        <rFont val="Aptos Narrow (Body)"/>
      </rPr>
      <t>38/36</t>
    </r>
    <r>
      <rPr>
        <sz val="12"/>
        <color theme="1"/>
        <rFont val="Aptos Narrow"/>
        <family val="2"/>
        <scheme val="minor"/>
      </rPr>
      <t>Ar</t>
    </r>
  </si>
  <si>
    <r>
      <rPr>
        <vertAlign val="superscript"/>
        <sz val="12"/>
        <color theme="1"/>
        <rFont val="Aptos Narrow (Body)"/>
      </rPr>
      <t>40</t>
    </r>
    <r>
      <rPr>
        <sz val="12"/>
        <color theme="1"/>
        <rFont val="Aptos Narrow"/>
        <family val="2"/>
        <scheme val="minor"/>
      </rPr>
      <t>Ar</t>
    </r>
    <r>
      <rPr>
        <vertAlign val="subscript"/>
        <sz val="12"/>
        <color theme="1"/>
        <rFont val="Aptos Narrow (Body)"/>
      </rPr>
      <t>ATM</t>
    </r>
  </si>
  <si>
    <r>
      <rPr>
        <sz val="12"/>
        <color theme="1"/>
        <rFont val="Symbol"/>
        <family val="5"/>
        <charset val="2"/>
      </rPr>
      <t>d</t>
    </r>
    <r>
      <rPr>
        <vertAlign val="superscript"/>
        <sz val="12"/>
        <color theme="1"/>
        <rFont val="Aptos Narrow (Body)"/>
      </rPr>
      <t>18</t>
    </r>
    <r>
      <rPr>
        <sz val="12"/>
        <color theme="1"/>
        <rFont val="Aptos Narrow"/>
        <family val="2"/>
        <scheme val="minor"/>
      </rPr>
      <t>O</t>
    </r>
    <r>
      <rPr>
        <vertAlign val="subscript"/>
        <sz val="12"/>
        <color theme="1"/>
        <rFont val="Aptos Narrow (Body)"/>
      </rPr>
      <t>ice</t>
    </r>
  </si>
  <si>
    <r>
      <rPr>
        <sz val="12"/>
        <color theme="1"/>
        <rFont val="Symbol"/>
        <family val="5"/>
        <charset val="2"/>
      </rPr>
      <t>d</t>
    </r>
    <r>
      <rPr>
        <sz val="12"/>
        <color theme="1"/>
        <rFont val="Aptos Narrow"/>
        <family val="2"/>
        <scheme val="minor"/>
      </rPr>
      <t>D</t>
    </r>
    <r>
      <rPr>
        <vertAlign val="subscript"/>
        <sz val="12"/>
        <color theme="1"/>
        <rFont val="Aptos Narrow (Body)"/>
      </rPr>
      <t>ice</t>
    </r>
  </si>
  <si>
    <t>*sample with suspected Ar loss</t>
  </si>
  <si>
    <t>**Cannot be dated with 40ArATM</t>
  </si>
  <si>
    <t>deuterium excess; calculated from dD-8*d18O</t>
  </si>
  <si>
    <t>D/H ratio of ice (per mil); Steig et al., 2014</t>
  </si>
  <si>
    <t>Core name from Allan Hills BIA (ALHIC = Allan Hills Ice Core)</t>
  </si>
  <si>
    <t>Top depth of core sampled (meters)</t>
  </si>
  <si>
    <t>The ratio of 38Ar/36Ar of Ar from melted ice samples (per mil)</t>
  </si>
  <si>
    <t>The ratio of 40Ar/38Ar of Ar from melted ice samples (per mil)</t>
  </si>
  <si>
    <t>40ArATM calculated from 40Ar/38Ar and 38Ar/36Ar following Bender et al., (2008)</t>
  </si>
  <si>
    <t>The 40ArATM age assuming a slope of 0.066 per meg/million years (Bender et al., 2008)</t>
  </si>
  <si>
    <t>Relative error in 40ArATM age (kyr)</t>
  </si>
  <si>
    <t>Absolute error in 40ArATM age (kyr)</t>
  </si>
  <si>
    <t>Gravitationally corrected Kr/Ar ratio of trapped air (corrected using 38Ar/36Ar)</t>
  </si>
  <si>
    <t>Gravitationally corrected Xe/Kr ratio of trapped air (corrected using 38Ar/36Ar)</t>
  </si>
  <si>
    <t>18O/16O ratio of ice (per mil); Steig et al., 2014</t>
  </si>
  <si>
    <t xml:space="preserve">Ar and Water isotopes </t>
  </si>
  <si>
    <t>Calculated Temperatures</t>
  </si>
  <si>
    <r>
      <rPr>
        <sz val="11"/>
        <color theme="1"/>
        <rFont val="Symbol"/>
        <family val="5"/>
        <charset val="2"/>
      </rPr>
      <t>D</t>
    </r>
    <r>
      <rPr>
        <sz val="11"/>
        <color theme="1"/>
        <rFont val="Aptos Narrow"/>
        <family val="2"/>
        <scheme val="minor"/>
      </rPr>
      <t>T_LatePleistocene</t>
    </r>
  </si>
  <si>
    <r>
      <t>uncertainty T (1</t>
    </r>
    <r>
      <rPr>
        <sz val="12"/>
        <color theme="1"/>
        <rFont val="Symbol"/>
        <family val="5"/>
        <charset val="1"/>
      </rPr>
      <t>s</t>
    </r>
    <r>
      <rPr>
        <sz val="12"/>
        <color theme="1"/>
        <rFont val="Aptos Narrow"/>
        <family val="2"/>
        <scheme val="minor"/>
      </rPr>
      <t>)</t>
    </r>
  </si>
  <si>
    <t>Type of climate snapshot (long or short); see text for details</t>
  </si>
  <si>
    <t>Temperature calculated from Masson-Delmotte et al., (2008)</t>
  </si>
  <si>
    <t>d18Oice corrected for changes in the d18O of seawater</t>
  </si>
  <si>
    <t>Temperature calculated from Masson-Delmotte et al., (2008) using the seawater-corrected d18Oice</t>
  </si>
  <si>
    <t>Uncertainty in calculated temperature.</t>
  </si>
  <si>
    <t>Difference between calculated ice temperature and the Late Pleistocene (ALHIC1903/S27) average</t>
  </si>
  <si>
    <t xml:space="preserve">Age </t>
  </si>
  <si>
    <t>d18Oice</t>
  </si>
  <si>
    <t>dDice</t>
  </si>
  <si>
    <t>dxs_ice</t>
  </si>
  <si>
    <t>dArN2</t>
  </si>
  <si>
    <t>d18Osw anomaly</t>
  </si>
  <si>
    <t>MD08SWcorr</t>
  </si>
  <si>
    <t>d18Oice sw corr</t>
  </si>
  <si>
    <t>MD08 Temp</t>
  </si>
  <si>
    <t>air content***</t>
  </si>
  <si>
    <t>***air content only calculated for small volume sample method</t>
  </si>
  <si>
    <t>***small volume method</t>
  </si>
  <si>
    <t>total air content</t>
  </si>
  <si>
    <t>Estimated from sample mass and pressure. Only evaluated for small volume samples.</t>
  </si>
  <si>
    <t>Ar/N2 ratio of trapped air</t>
  </si>
  <si>
    <t>DT_LatePleistocene</t>
  </si>
  <si>
    <t>uncertainty T (1s)</t>
  </si>
  <si>
    <r>
      <rPr>
        <b/>
        <sz val="11"/>
        <color theme="1"/>
        <rFont val="Symbol"/>
        <family val="5"/>
        <charset val="2"/>
      </rPr>
      <t>d</t>
    </r>
    <r>
      <rPr>
        <b/>
        <vertAlign val="superscript"/>
        <sz val="11"/>
        <color theme="1"/>
        <rFont val="Aptos Narrow (Body)"/>
      </rPr>
      <t>40/38</t>
    </r>
    <r>
      <rPr>
        <b/>
        <sz val="11"/>
        <color theme="1"/>
        <rFont val="Aptos Narrow"/>
        <family val="2"/>
        <scheme val="minor"/>
      </rPr>
      <t>Ar</t>
    </r>
  </si>
  <si>
    <r>
      <rPr>
        <b/>
        <sz val="11"/>
        <color theme="1"/>
        <rFont val="Symbol"/>
        <family val="5"/>
        <charset val="2"/>
      </rPr>
      <t>d</t>
    </r>
    <r>
      <rPr>
        <b/>
        <vertAlign val="superscript"/>
        <sz val="11"/>
        <color theme="1"/>
        <rFont val="Aptos Narrow (Body)"/>
      </rPr>
      <t>38/36</t>
    </r>
    <r>
      <rPr>
        <b/>
        <sz val="11"/>
        <color theme="1"/>
        <rFont val="Aptos Narrow"/>
        <family val="2"/>
        <scheme val="minor"/>
      </rPr>
      <t>Ar</t>
    </r>
  </si>
  <si>
    <r>
      <rPr>
        <b/>
        <vertAlign val="superscript"/>
        <sz val="11"/>
        <color theme="1"/>
        <rFont val="Aptos Narrow (Body)"/>
      </rPr>
      <t>40</t>
    </r>
    <r>
      <rPr>
        <b/>
        <sz val="11"/>
        <color theme="1"/>
        <rFont val="Aptos Narrow"/>
        <family val="2"/>
        <scheme val="minor"/>
      </rPr>
      <t>Ar</t>
    </r>
    <r>
      <rPr>
        <b/>
        <vertAlign val="subscript"/>
        <sz val="11"/>
        <color theme="1"/>
        <rFont val="Aptos Narrow (Body)"/>
      </rPr>
      <t>ATM</t>
    </r>
  </si>
  <si>
    <r>
      <rPr>
        <b/>
        <sz val="11"/>
        <color theme="1"/>
        <rFont val="Symbol"/>
        <family val="5"/>
        <charset val="2"/>
      </rPr>
      <t>d</t>
    </r>
    <r>
      <rPr>
        <b/>
        <vertAlign val="superscript"/>
        <sz val="11"/>
        <color theme="1"/>
        <rFont val="Aptos Narrow (Body)"/>
      </rPr>
      <t>18</t>
    </r>
    <r>
      <rPr>
        <b/>
        <sz val="11"/>
        <color theme="1"/>
        <rFont val="Aptos Narrow"/>
        <family val="2"/>
        <scheme val="minor"/>
      </rPr>
      <t>O</t>
    </r>
    <r>
      <rPr>
        <b/>
        <vertAlign val="subscript"/>
        <sz val="11"/>
        <color theme="1"/>
        <rFont val="Aptos Narrow (Body)"/>
      </rPr>
      <t>ice</t>
    </r>
  </si>
  <si>
    <r>
      <rPr>
        <b/>
        <sz val="11"/>
        <color theme="1"/>
        <rFont val="Symbol"/>
        <family val="5"/>
        <charset val="2"/>
      </rPr>
      <t>d</t>
    </r>
    <r>
      <rPr>
        <b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 (Body)"/>
      </rPr>
      <t>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</si>
</sst>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ymbol"/>
      <family val="5"/>
      <charset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bscript"/>
      <sz val="12"/>
      <color theme="1"/>
      <name val="Aptos Narrow (Body)"/>
    </font>
    <font>
      <vertAlign val="superscript"/>
      <sz val="12"/>
      <color theme="1"/>
      <name val="Aptos Narrow (Body)"/>
    </font>
    <font>
      <sz val="12"/>
      <color theme="1"/>
      <name val="Aptos Narrow"/>
      <family val="2"/>
      <charset val="2"/>
      <scheme val="minor"/>
    </font>
    <font>
      <sz val="12"/>
      <color theme="1"/>
      <name val="Symbol"/>
      <family val="5"/>
      <charset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5"/>
      <charset val="2"/>
      <scheme val="minor"/>
    </font>
    <font>
      <sz val="11"/>
      <color theme="1"/>
      <name val="Symbol"/>
      <family val="5"/>
      <charset val="2"/>
    </font>
    <font>
      <sz val="12"/>
      <color theme="1"/>
      <name val="Symbol"/>
      <family val="5"/>
      <charset val="1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charset val="2"/>
      <scheme val="minor"/>
    </font>
    <font>
      <b/>
      <vertAlign val="superscript"/>
      <sz val="11"/>
      <color theme="1"/>
      <name val="Aptos Narrow (Body)"/>
    </font>
    <font>
      <b/>
      <vertAlign val="subscript"/>
      <sz val="11"/>
      <color theme="1"/>
      <name val="Aptos Narrow (Body)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2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8" fillId="0" borderId="0" xfId="0" quotePrefix="1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  <xf numFmtId="2" fontId="1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/>
    </xf>
    <xf numFmtId="2" fontId="14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2" fontId="14" fillId="0" borderId="1" xfId="0" quotePrefix="1" applyNumberFormat="1" applyFont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2" fontId="4" fillId="0" borderId="0" xfId="0" applyNumberFormat="1" applyFont="1"/>
    <xf numFmtId="2" fontId="15" fillId="0" borderId="1" xfId="0" quotePrefix="1" applyNumberFormat="1" applyFont="1" applyBorder="1" applyAlignment="1">
      <alignment horizontal="center"/>
    </xf>
    <xf numFmtId="165" fontId="15" fillId="0" borderId="1" xfId="0" quotePrefix="1" applyNumberFormat="1" applyFont="1" applyBorder="1" applyAlignment="1">
      <alignment horizontal="center"/>
    </xf>
    <xf numFmtId="2" fontId="15" fillId="0" borderId="2" xfId="0" quotePrefix="1" applyNumberFormat="1" applyFont="1" applyBorder="1" applyAlignment="1">
      <alignment horizontal="center"/>
    </xf>
    <xf numFmtId="2" fontId="15" fillId="0" borderId="3" xfId="0" quotePrefix="1" applyNumberFormat="1" applyFont="1" applyBorder="1" applyAlignment="1">
      <alignment horizontal="center"/>
    </xf>
    <xf numFmtId="0" fontId="10" fillId="0" borderId="0" xfId="0" applyFont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18" fillId="0" borderId="4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/>
    <xf numFmtId="164" fontId="20" fillId="0" borderId="1" xfId="0" applyNumberFormat="1" applyFont="1" applyBorder="1" applyAlignment="1">
      <alignment horizontal="center"/>
    </xf>
    <xf numFmtId="165" fontId="10" fillId="0" borderId="0" xfId="0" applyNumberFormat="1" applyFont="1"/>
    <xf numFmtId="2" fontId="10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1901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 and Water isotopes'!$I$23:$I$110</c:f>
              <c:numCache>
                <c:formatCode>0.000</c:formatCode>
                <c:ptCount val="88"/>
                <c:pt idx="0">
                  <c:v>0.43512656691584706</c:v>
                </c:pt>
                <c:pt idx="1">
                  <c:v>0.45603451611272067</c:v>
                </c:pt>
                <c:pt idx="2">
                  <c:v>0.55846275426150704</c:v>
                </c:pt>
                <c:pt idx="3">
                  <c:v>0.82653598254713312</c:v>
                </c:pt>
                <c:pt idx="4">
                  <c:v>0.60758991213524538</c:v>
                </c:pt>
                <c:pt idx="5">
                  <c:v>0.59072666727918743</c:v>
                </c:pt>
                <c:pt idx="6">
                  <c:v>0.58029425135983503</c:v>
                </c:pt>
                <c:pt idx="7">
                  <c:v>0.677639457575549</c:v>
                </c:pt>
                <c:pt idx="8">
                  <c:v>0.78802136209295393</c:v>
                </c:pt>
                <c:pt idx="9">
                  <c:v>0.8725559884491294</c:v>
                </c:pt>
                <c:pt idx="10">
                  <c:v>0.80027390742313276</c:v>
                </c:pt>
                <c:pt idx="11">
                  <c:v>0.8578144280154989</c:v>
                </c:pt>
                <c:pt idx="12">
                  <c:v>0.78121301395348086</c:v>
                </c:pt>
                <c:pt idx="13">
                  <c:v>0.77622887637775817</c:v>
                </c:pt>
                <c:pt idx="14">
                  <c:v>0.78130193702777206</c:v>
                </c:pt>
                <c:pt idx="15">
                  <c:v>0.62917672087981946</c:v>
                </c:pt>
                <c:pt idx="16">
                  <c:v>0.83336110460387813</c:v>
                </c:pt>
                <c:pt idx="17">
                  <c:v>0.77030397181415511</c:v>
                </c:pt>
                <c:pt idx="18">
                  <c:v>0.63425885846937002</c:v>
                </c:pt>
                <c:pt idx="19">
                  <c:v>0.64856634389305734</c:v>
                </c:pt>
                <c:pt idx="20">
                  <c:v>0.66808910900296947</c:v>
                </c:pt>
                <c:pt idx="21">
                  <c:v>0.71459672179922129</c:v>
                </c:pt>
                <c:pt idx="22">
                  <c:v>0.62832068759515791</c:v>
                </c:pt>
                <c:pt idx="23">
                  <c:v>0.6041100932543868</c:v>
                </c:pt>
                <c:pt idx="24">
                  <c:v>0.52543043779184839</c:v>
                </c:pt>
                <c:pt idx="25">
                  <c:v>0.67603106562393844</c:v>
                </c:pt>
                <c:pt idx="26">
                  <c:v>0.60818571263172649</c:v>
                </c:pt>
                <c:pt idx="27">
                  <c:v>0.54457443427082264</c:v>
                </c:pt>
                <c:pt idx="28">
                  <c:v>0.66247038379901013</c:v>
                </c:pt>
                <c:pt idx="29">
                  <c:v>0.87593315559943774</c:v>
                </c:pt>
                <c:pt idx="30">
                  <c:v>1.1434573761888571</c:v>
                </c:pt>
                <c:pt idx="31">
                  <c:v>0.81758219292998691</c:v>
                </c:pt>
                <c:pt idx="32">
                  <c:v>0.83310075286539353</c:v>
                </c:pt>
                <c:pt idx="33">
                  <c:v>0.77325148299541135</c:v>
                </c:pt>
                <c:pt idx="34">
                  <c:v>2.2992041718109903</c:v>
                </c:pt>
                <c:pt idx="35">
                  <c:v>0.94142809465746025</c:v>
                </c:pt>
                <c:pt idx="36">
                  <c:v>1.2770696871061187</c:v>
                </c:pt>
                <c:pt idx="37">
                  <c:v>1.0434851443710393</c:v>
                </c:pt>
                <c:pt idx="38">
                  <c:v>1.4294909633227881</c:v>
                </c:pt>
                <c:pt idx="39">
                  <c:v>1.6237099145962235</c:v>
                </c:pt>
                <c:pt idx="40">
                  <c:v>1.6472212021544799</c:v>
                </c:pt>
                <c:pt idx="41">
                  <c:v>1.3095611509706511</c:v>
                </c:pt>
                <c:pt idx="42">
                  <c:v>0.68043736545063105</c:v>
                </c:pt>
                <c:pt idx="43">
                  <c:v>0.5518000224878008</c:v>
                </c:pt>
                <c:pt idx="44">
                  <c:v>0.57896466442265315</c:v>
                </c:pt>
                <c:pt idx="45">
                  <c:v>0.8002711713306353</c:v>
                </c:pt>
                <c:pt idx="46">
                  <c:v>0.60145258916049871</c:v>
                </c:pt>
                <c:pt idx="47">
                  <c:v>2.6745125389410709</c:v>
                </c:pt>
                <c:pt idx="48">
                  <c:v>2.8676741631519027</c:v>
                </c:pt>
                <c:pt idx="49">
                  <c:v>2.0155950392316848</c:v>
                </c:pt>
                <c:pt idx="50">
                  <c:v>1.983722369312529</c:v>
                </c:pt>
                <c:pt idx="51">
                  <c:v>2.0804195946942698</c:v>
                </c:pt>
                <c:pt idx="52">
                  <c:v>1.0839061606542959</c:v>
                </c:pt>
                <c:pt idx="53">
                  <c:v>0.95853780072018036</c:v>
                </c:pt>
                <c:pt idx="54">
                  <c:v>1.1578343100258943</c:v>
                </c:pt>
                <c:pt idx="55">
                  <c:v>0.55821607276809315</c:v>
                </c:pt>
                <c:pt idx="56">
                  <c:v>0.67833698469074122</c:v>
                </c:pt>
                <c:pt idx="57">
                  <c:v>2.0088826578032206</c:v>
                </c:pt>
                <c:pt idx="58">
                  <c:v>1.5071805347941032</c:v>
                </c:pt>
                <c:pt idx="59">
                  <c:v>1.8473931806556489</c:v>
                </c:pt>
                <c:pt idx="60">
                  <c:v>2.606481747627595</c:v>
                </c:pt>
                <c:pt idx="61">
                  <c:v>2.171741537264559</c:v>
                </c:pt>
                <c:pt idx="62">
                  <c:v>0.89858128911113999</c:v>
                </c:pt>
                <c:pt idx="63">
                  <c:v>0.85474494434321291</c:v>
                </c:pt>
                <c:pt idx="64">
                  <c:v>0.84626825938151307</c:v>
                </c:pt>
                <c:pt idx="65">
                  <c:v>0.89104806935775549</c:v>
                </c:pt>
                <c:pt idx="66">
                  <c:v>1.1632172555932982</c:v>
                </c:pt>
                <c:pt idx="67">
                  <c:v>1.3748717435898863</c:v>
                </c:pt>
                <c:pt idx="68">
                  <c:v>1.6029531498414198</c:v>
                </c:pt>
                <c:pt idx="69">
                  <c:v>1.8717609318832507</c:v>
                </c:pt>
                <c:pt idx="70">
                  <c:v>1.9266562712920976</c:v>
                </c:pt>
                <c:pt idx="71">
                  <c:v>1.8714303690754843</c:v>
                </c:pt>
                <c:pt idx="72">
                  <c:v>1.4212000918637198</c:v>
                </c:pt>
                <c:pt idx="73">
                  <c:v>1.5212969073531994</c:v>
                </c:pt>
                <c:pt idx="74">
                  <c:v>1.6744899622546003</c:v>
                </c:pt>
                <c:pt idx="75">
                  <c:v>1.7123774776994445</c:v>
                </c:pt>
                <c:pt idx="76">
                  <c:v>1.833234610477416</c:v>
                </c:pt>
                <c:pt idx="77">
                  <c:v>1.3842938471636701</c:v>
                </c:pt>
                <c:pt idx="78">
                  <c:v>2.2067579916218776</c:v>
                </c:pt>
                <c:pt idx="79">
                  <c:v>2.6844022310854116</c:v>
                </c:pt>
                <c:pt idx="80">
                  <c:v>2.8484836205877606</c:v>
                </c:pt>
                <c:pt idx="81">
                  <c:v>3.064977777832198</c:v>
                </c:pt>
                <c:pt idx="82">
                  <c:v>2.8909967877511664</c:v>
                </c:pt>
                <c:pt idx="83">
                  <c:v>2.8954580083444466</c:v>
                </c:pt>
                <c:pt idx="84">
                  <c:v>2.7653316620317043</c:v>
                </c:pt>
                <c:pt idx="85">
                  <c:v>2.8109771022286485</c:v>
                </c:pt>
                <c:pt idx="86">
                  <c:v>3.0038167204401742</c:v>
                </c:pt>
                <c:pt idx="87">
                  <c:v>3.9876967412151361</c:v>
                </c:pt>
              </c:numCache>
            </c:numRef>
          </c:xVal>
          <c:yVal>
            <c:numRef>
              <c:f>'Ar and Water isotopes'!$L$23:$L$110</c:f>
              <c:numCache>
                <c:formatCode>0.000</c:formatCode>
                <c:ptCount val="88"/>
                <c:pt idx="0">
                  <c:v>5.7231674939419719</c:v>
                </c:pt>
                <c:pt idx="1">
                  <c:v>6.2606420462076873</c:v>
                </c:pt>
                <c:pt idx="2">
                  <c:v>5.6886542413006058</c:v>
                </c:pt>
                <c:pt idx="3">
                  <c:v>5.9866023973778049</c:v>
                </c:pt>
                <c:pt idx="4">
                  <c:v>6.1637530457321343</c:v>
                </c:pt>
                <c:pt idx="5">
                  <c:v>6.2898632633709983</c:v>
                </c:pt>
                <c:pt idx="6">
                  <c:v>6.0178842252818221</c:v>
                </c:pt>
                <c:pt idx="7">
                  <c:v>6.4634273542791831</c:v>
                </c:pt>
                <c:pt idx="8">
                  <c:v>6.3306533646179108</c:v>
                </c:pt>
                <c:pt idx="9">
                  <c:v>6.593061324900118</c:v>
                </c:pt>
                <c:pt idx="10">
                  <c:v>6.4902715207988404</c:v>
                </c:pt>
                <c:pt idx="11">
                  <c:v>6.8410070481497165</c:v>
                </c:pt>
                <c:pt idx="12">
                  <c:v>5.0985676182262463</c:v>
                </c:pt>
                <c:pt idx="13">
                  <c:v>6.0688376957254153</c:v>
                </c:pt>
                <c:pt idx="14">
                  <c:v>17.748809385792484</c:v>
                </c:pt>
                <c:pt idx="15">
                  <c:v>6.0427930933040219</c:v>
                </c:pt>
                <c:pt idx="16">
                  <c:v>2.8471869198665178</c:v>
                </c:pt>
                <c:pt idx="17">
                  <c:v>6.0822065097267952</c:v>
                </c:pt>
                <c:pt idx="18">
                  <c:v>5.0920843872641619</c:v>
                </c:pt>
                <c:pt idx="19">
                  <c:v>4.5991930041564544</c:v>
                </c:pt>
                <c:pt idx="20">
                  <c:v>5.477392289961136</c:v>
                </c:pt>
                <c:pt idx="21">
                  <c:v>4.6568166077904927</c:v>
                </c:pt>
                <c:pt idx="22">
                  <c:v>5.1007437056471705</c:v>
                </c:pt>
                <c:pt idx="23">
                  <c:v>6.1989460265912122</c:v>
                </c:pt>
                <c:pt idx="24">
                  <c:v>5.58873951453287</c:v>
                </c:pt>
                <c:pt idx="26">
                  <c:v>6.0915618235177771</c:v>
                </c:pt>
                <c:pt idx="27">
                  <c:v>5.6321941375601092</c:v>
                </c:pt>
                <c:pt idx="28">
                  <c:v>5.166183549926151</c:v>
                </c:pt>
                <c:pt idx="29">
                  <c:v>5.5370946039914326</c:v>
                </c:pt>
                <c:pt idx="30">
                  <c:v>5.9068403098674338</c:v>
                </c:pt>
                <c:pt idx="31">
                  <c:v>6.3346824957433157</c:v>
                </c:pt>
                <c:pt idx="32">
                  <c:v>6.1816726223633545</c:v>
                </c:pt>
                <c:pt idx="33">
                  <c:v>5.5271329174342299</c:v>
                </c:pt>
                <c:pt idx="34">
                  <c:v>6.5352905714244347</c:v>
                </c:pt>
                <c:pt idx="35">
                  <c:v>5.3007028687219737</c:v>
                </c:pt>
                <c:pt idx="36">
                  <c:v>5.9855188647273128</c:v>
                </c:pt>
                <c:pt idx="37">
                  <c:v>6.1516464041944108</c:v>
                </c:pt>
                <c:pt idx="38">
                  <c:v>5.7272712499747414</c:v>
                </c:pt>
                <c:pt idx="39">
                  <c:v>6.1893741229017696</c:v>
                </c:pt>
                <c:pt idx="40">
                  <c:v>6.0046371820323685</c:v>
                </c:pt>
                <c:pt idx="41">
                  <c:v>5.8137378193272582</c:v>
                </c:pt>
                <c:pt idx="42">
                  <c:v>4.3700796140173637</c:v>
                </c:pt>
                <c:pt idx="43">
                  <c:v>4.7808351558678019</c:v>
                </c:pt>
                <c:pt idx="44">
                  <c:v>4.8699133582450482</c:v>
                </c:pt>
                <c:pt idx="45">
                  <c:v>4.9468205597062997</c:v>
                </c:pt>
                <c:pt idx="46">
                  <c:v>4.8750814864355618</c:v>
                </c:pt>
                <c:pt idx="47">
                  <c:v>6.8311523436932475</c:v>
                </c:pt>
                <c:pt idx="48">
                  <c:v>8.6857949679044477</c:v>
                </c:pt>
                <c:pt idx="49">
                  <c:v>7.0921677891473411</c:v>
                </c:pt>
                <c:pt idx="50">
                  <c:v>6.3690981535236002</c:v>
                </c:pt>
                <c:pt idx="51">
                  <c:v>6.5112253828443212</c:v>
                </c:pt>
                <c:pt idx="52">
                  <c:v>4.8502934996081937</c:v>
                </c:pt>
                <c:pt idx="53">
                  <c:v>4.9272463910885467</c:v>
                </c:pt>
                <c:pt idx="54">
                  <c:v>5.0345524491779425</c:v>
                </c:pt>
                <c:pt idx="55">
                  <c:v>4.3963045895349939</c:v>
                </c:pt>
                <c:pt idx="56">
                  <c:v>5.5722392355415096</c:v>
                </c:pt>
                <c:pt idx="57">
                  <c:v>5.8765616267644205</c:v>
                </c:pt>
                <c:pt idx="58">
                  <c:v>5.4215034903133397</c:v>
                </c:pt>
                <c:pt idx="59">
                  <c:v>5.3868646915158358</c:v>
                </c:pt>
                <c:pt idx="60">
                  <c:v>5.0547188700489354</c:v>
                </c:pt>
                <c:pt idx="61">
                  <c:v>6.2046784234339736</c:v>
                </c:pt>
                <c:pt idx="62">
                  <c:v>5.7517522885153216</c:v>
                </c:pt>
                <c:pt idx="63">
                  <c:v>5.5465086166528454</c:v>
                </c:pt>
                <c:pt idx="64">
                  <c:v>5.1076357662045435</c:v>
                </c:pt>
                <c:pt idx="65">
                  <c:v>5.0756031095295917</c:v>
                </c:pt>
                <c:pt idx="66">
                  <c:v>5.3799698434791043</c:v>
                </c:pt>
                <c:pt idx="67">
                  <c:v>5.2341806518929612</c:v>
                </c:pt>
                <c:pt idx="68">
                  <c:v>5.4993223511634604</c:v>
                </c:pt>
                <c:pt idx="69">
                  <c:v>5.4022992916880064</c:v>
                </c:pt>
                <c:pt idx="70">
                  <c:v>5.5547713207559912</c:v>
                </c:pt>
                <c:pt idx="71">
                  <c:v>5.1904889594824866</c:v>
                </c:pt>
                <c:pt idx="72">
                  <c:v>5.2970552341977672</c:v>
                </c:pt>
                <c:pt idx="73">
                  <c:v>4.6450938531739094</c:v>
                </c:pt>
                <c:pt idx="74">
                  <c:v>5.2770001416970747</c:v>
                </c:pt>
                <c:pt idx="75">
                  <c:v>5.2841397109242294</c:v>
                </c:pt>
                <c:pt idx="76">
                  <c:v>4.958191156732239</c:v>
                </c:pt>
                <c:pt idx="77">
                  <c:v>5.3207934523087363</c:v>
                </c:pt>
                <c:pt idx="78">
                  <c:v>5.4168849088767068</c:v>
                </c:pt>
                <c:pt idx="79">
                  <c:v>9.1742517542270363</c:v>
                </c:pt>
                <c:pt idx="80">
                  <c:v>9.9555653045488857</c:v>
                </c:pt>
                <c:pt idx="81">
                  <c:v>10.202138891914458</c:v>
                </c:pt>
                <c:pt idx="82">
                  <c:v>11.613877842543863</c:v>
                </c:pt>
                <c:pt idx="83">
                  <c:v>11.389691752899056</c:v>
                </c:pt>
                <c:pt idx="84">
                  <c:v>11.291775503291301</c:v>
                </c:pt>
                <c:pt idx="85">
                  <c:v>13.01107676456148</c:v>
                </c:pt>
                <c:pt idx="86">
                  <c:v>25.07966820304275</c:v>
                </c:pt>
                <c:pt idx="87">
                  <c:v>102.4304003321852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F-1D4C-89C3-49C7EA80099B}"/>
            </c:ext>
          </c:extLst>
        </c:ser>
        <c:ser>
          <c:idx val="1"/>
          <c:order val="1"/>
          <c:tx>
            <c:v>1902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 and Water isotopes'!$I$111:$I$127</c:f>
              <c:numCache>
                <c:formatCode>0.000</c:formatCode>
                <c:ptCount val="17"/>
                <c:pt idx="0">
                  <c:v>0.49948469848565769</c:v>
                </c:pt>
                <c:pt idx="1">
                  <c:v>1.0035515278514291</c:v>
                </c:pt>
                <c:pt idx="2">
                  <c:v>0.66323096729250308</c:v>
                </c:pt>
                <c:pt idx="3">
                  <c:v>0.85365203317592264</c:v>
                </c:pt>
                <c:pt idx="4">
                  <c:v>0.80254406822153546</c:v>
                </c:pt>
                <c:pt idx="5">
                  <c:v>1.0315233173118659</c:v>
                </c:pt>
                <c:pt idx="6">
                  <c:v>1.2017520744813119</c:v>
                </c:pt>
                <c:pt idx="7">
                  <c:v>0.94418210564136984</c:v>
                </c:pt>
                <c:pt idx="8">
                  <c:v>2.5615732666768039</c:v>
                </c:pt>
                <c:pt idx="9">
                  <c:v>2.5756824658023363</c:v>
                </c:pt>
                <c:pt idx="10">
                  <c:v>3.7027190473126406</c:v>
                </c:pt>
                <c:pt idx="11">
                  <c:v>4.5478338794616402</c:v>
                </c:pt>
                <c:pt idx="12">
                  <c:v>4.3194987248578105</c:v>
                </c:pt>
                <c:pt idx="13">
                  <c:v>4.372887807314159</c:v>
                </c:pt>
                <c:pt idx="14">
                  <c:v>4.6261572752475377</c:v>
                </c:pt>
                <c:pt idx="15">
                  <c:v>5.3271590113876464</c:v>
                </c:pt>
                <c:pt idx="16">
                  <c:v>5.6886680759248733</c:v>
                </c:pt>
              </c:numCache>
            </c:numRef>
          </c:xVal>
          <c:yVal>
            <c:numRef>
              <c:f>'Ar and Water isotopes'!$L$111:$L$127</c:f>
              <c:numCache>
                <c:formatCode>0.000</c:formatCode>
                <c:ptCount val="17"/>
                <c:pt idx="0">
                  <c:v>7.2124369596782598</c:v>
                </c:pt>
                <c:pt idx="1">
                  <c:v>6.0109910847154779</c:v>
                </c:pt>
                <c:pt idx="2">
                  <c:v>5.2986742265561659</c:v>
                </c:pt>
                <c:pt idx="3">
                  <c:v>5.0867243088843495</c:v>
                </c:pt>
                <c:pt idx="4">
                  <c:v>5.0141926144056104</c:v>
                </c:pt>
                <c:pt idx="5">
                  <c:v>5.3435036352382781</c:v>
                </c:pt>
                <c:pt idx="6">
                  <c:v>6.3597946769591296</c:v>
                </c:pt>
                <c:pt idx="7">
                  <c:v>5.6722068738834786</c:v>
                </c:pt>
                <c:pt idx="8">
                  <c:v>7.5952369069502979</c:v>
                </c:pt>
                <c:pt idx="9">
                  <c:v>7.1388400073701952</c:v>
                </c:pt>
                <c:pt idx="10">
                  <c:v>13.998428161524412</c:v>
                </c:pt>
                <c:pt idx="11">
                  <c:v>66.122243281646846</c:v>
                </c:pt>
                <c:pt idx="12">
                  <c:v>48.6893288017054</c:v>
                </c:pt>
                <c:pt idx="13">
                  <c:v>46.144947714241489</c:v>
                </c:pt>
                <c:pt idx="14">
                  <c:v>58.102706467759724</c:v>
                </c:pt>
                <c:pt idx="15">
                  <c:v>80.16614747363549</c:v>
                </c:pt>
                <c:pt idx="16">
                  <c:v>117.24467344222921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F-754D-90DC-08E5DB964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881279"/>
        <c:axId val="613883007"/>
      </c:scatterChart>
      <c:valAx>
        <c:axId val="61388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83007"/>
        <c:crosses val="autoZero"/>
        <c:crossBetween val="midCat"/>
      </c:valAx>
      <c:valAx>
        <c:axId val="6138830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8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495300</xdr:colOff>
      <xdr:row>8</xdr:row>
      <xdr:rowOff>184150</xdr:rowOff>
    </xdr:from>
    <xdr:to>
      <xdr:col>35</xdr:col>
      <xdr:colOff>698500</xdr:colOff>
      <xdr:row>43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26792-EF34-039C-1836-BF550BA89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3538-E16F-E84F-8207-E3CC74BD4AD4}">
  <dimension ref="A1:F36"/>
  <sheetViews>
    <sheetView topLeftCell="A18" workbookViewId="0">
      <selection activeCell="B22" sqref="B22"/>
    </sheetView>
  </sheetViews>
  <sheetFormatPr baseColWidth="10" defaultRowHeight="16" x14ac:dyDescent="0.2"/>
  <cols>
    <col min="1" max="1" width="18.6640625" customWidth="1"/>
  </cols>
  <sheetData>
    <row r="1" spans="1:6" x14ac:dyDescent="0.2">
      <c r="A1" t="s">
        <v>30</v>
      </c>
      <c r="B1" t="s">
        <v>40</v>
      </c>
    </row>
    <row r="3" spans="1:6" x14ac:dyDescent="0.2">
      <c r="A3" t="s">
        <v>31</v>
      </c>
    </row>
    <row r="4" spans="1:6" x14ac:dyDescent="0.2">
      <c r="B4" t="s">
        <v>32</v>
      </c>
    </row>
    <row r="5" spans="1:6" x14ac:dyDescent="0.2">
      <c r="B5" t="s">
        <v>33</v>
      </c>
    </row>
    <row r="6" spans="1:6" x14ac:dyDescent="0.2">
      <c r="B6" t="s">
        <v>39</v>
      </c>
    </row>
    <row r="7" spans="1:6" x14ac:dyDescent="0.2">
      <c r="B7" t="s">
        <v>42</v>
      </c>
    </row>
    <row r="8" spans="1:6" x14ac:dyDescent="0.2">
      <c r="B8" t="s">
        <v>41</v>
      </c>
    </row>
    <row r="9" spans="1:6" x14ac:dyDescent="0.2">
      <c r="A9" s="40" t="s">
        <v>63</v>
      </c>
      <c r="B9" s="40"/>
      <c r="C9" s="40"/>
      <c r="D9" s="40"/>
      <c r="E9" s="40"/>
      <c r="F9" s="40"/>
    </row>
    <row r="10" spans="1:6" x14ac:dyDescent="0.2">
      <c r="A10" s="5" t="s">
        <v>0</v>
      </c>
      <c r="B10" t="s">
        <v>52</v>
      </c>
    </row>
    <row r="11" spans="1:6" x14ac:dyDescent="0.2">
      <c r="A11" s="5" t="s">
        <v>1</v>
      </c>
      <c r="B11" t="s">
        <v>53</v>
      </c>
    </row>
    <row r="12" spans="1:6" ht="19" x14ac:dyDescent="0.2">
      <c r="A12" s="5" t="s">
        <v>43</v>
      </c>
      <c r="B12" t="s">
        <v>55</v>
      </c>
    </row>
    <row r="13" spans="1:6" ht="19" x14ac:dyDescent="0.2">
      <c r="A13" s="5" t="s">
        <v>44</v>
      </c>
      <c r="B13" t="s">
        <v>54</v>
      </c>
    </row>
    <row r="14" spans="1:6" ht="20" x14ac:dyDescent="0.25">
      <c r="A14" s="5" t="s">
        <v>45</v>
      </c>
      <c r="B14" t="s">
        <v>56</v>
      </c>
    </row>
    <row r="15" spans="1:6" x14ac:dyDescent="0.2">
      <c r="A15" s="5" t="s">
        <v>3</v>
      </c>
      <c r="B15" t="s">
        <v>57</v>
      </c>
    </row>
    <row r="16" spans="1:6" x14ac:dyDescent="0.2">
      <c r="A16" s="5" t="s">
        <v>4</v>
      </c>
      <c r="B16" t="s">
        <v>58</v>
      </c>
    </row>
    <row r="17" spans="1:6" x14ac:dyDescent="0.2">
      <c r="A17" s="5" t="s">
        <v>5</v>
      </c>
      <c r="B17" t="s">
        <v>59</v>
      </c>
    </row>
    <row r="18" spans="1:6" x14ac:dyDescent="0.2">
      <c r="A18" s="5" t="s">
        <v>6</v>
      </c>
      <c r="B18" t="s">
        <v>60</v>
      </c>
    </row>
    <row r="19" spans="1:6" x14ac:dyDescent="0.2">
      <c r="A19" s="5" t="s">
        <v>29</v>
      </c>
      <c r="B19" t="s">
        <v>61</v>
      </c>
    </row>
    <row r="20" spans="1:6" x14ac:dyDescent="0.2">
      <c r="A20" s="5" t="s">
        <v>85</v>
      </c>
      <c r="B20" t="s">
        <v>86</v>
      </c>
    </row>
    <row r="21" spans="1:6" x14ac:dyDescent="0.2">
      <c r="A21" s="5" t="s">
        <v>77</v>
      </c>
      <c r="B21" t="s">
        <v>87</v>
      </c>
    </row>
    <row r="22" spans="1:6" ht="20" x14ac:dyDescent="0.25">
      <c r="A22" s="5" t="s">
        <v>46</v>
      </c>
      <c r="B22" t="s">
        <v>62</v>
      </c>
    </row>
    <row r="23" spans="1:6" ht="18" x14ac:dyDescent="0.25">
      <c r="A23" s="5" t="s">
        <v>47</v>
      </c>
      <c r="B23" t="s">
        <v>51</v>
      </c>
    </row>
    <row r="24" spans="1:6" x14ac:dyDescent="0.2">
      <c r="A24" s="5" t="s">
        <v>7</v>
      </c>
      <c r="B24" t="s">
        <v>50</v>
      </c>
    </row>
    <row r="25" spans="1:6" x14ac:dyDescent="0.2">
      <c r="A25" s="6"/>
    </row>
    <row r="26" spans="1:6" x14ac:dyDescent="0.2">
      <c r="A26" s="40" t="s">
        <v>64</v>
      </c>
      <c r="B26" s="40"/>
      <c r="C26" s="40"/>
      <c r="D26" s="40"/>
      <c r="E26" s="40"/>
      <c r="F26" s="40"/>
    </row>
    <row r="27" spans="1:6" x14ac:dyDescent="0.2">
      <c r="A27" s="7" t="s">
        <v>73</v>
      </c>
      <c r="B27" t="s">
        <v>57</v>
      </c>
    </row>
    <row r="28" spans="1:6" x14ac:dyDescent="0.2">
      <c r="A28" s="8" t="s">
        <v>74</v>
      </c>
      <c r="B28" t="s">
        <v>62</v>
      </c>
    </row>
    <row r="29" spans="1:6" x14ac:dyDescent="0.2">
      <c r="A29" s="9" t="s">
        <v>75</v>
      </c>
      <c r="B29" t="s">
        <v>51</v>
      </c>
    </row>
    <row r="30" spans="1:6" x14ac:dyDescent="0.2">
      <c r="A30" s="9" t="s">
        <v>76</v>
      </c>
      <c r="B30" t="s">
        <v>50</v>
      </c>
    </row>
    <row r="31" spans="1:6" x14ac:dyDescent="0.2">
      <c r="A31" s="7" t="s">
        <v>8</v>
      </c>
      <c r="B31" t="s">
        <v>67</v>
      </c>
    </row>
    <row r="32" spans="1:6" x14ac:dyDescent="0.2">
      <c r="A32" s="10" t="s">
        <v>81</v>
      </c>
      <c r="B32" t="s">
        <v>68</v>
      </c>
    </row>
    <row r="33" spans="1:2" x14ac:dyDescent="0.2">
      <c r="A33" s="10" t="s">
        <v>35</v>
      </c>
      <c r="B33" t="s">
        <v>69</v>
      </c>
    </row>
    <row r="34" spans="1:2" x14ac:dyDescent="0.2">
      <c r="A34" s="10" t="s">
        <v>79</v>
      </c>
      <c r="B34" t="s">
        <v>70</v>
      </c>
    </row>
    <row r="35" spans="1:2" x14ac:dyDescent="0.2">
      <c r="A35" s="11" t="s">
        <v>65</v>
      </c>
      <c r="B35" s="12" t="s">
        <v>72</v>
      </c>
    </row>
    <row r="36" spans="1:2" x14ac:dyDescent="0.2">
      <c r="A36" s="9" t="s">
        <v>66</v>
      </c>
      <c r="B36" t="s">
        <v>71</v>
      </c>
    </row>
  </sheetData>
  <mergeCells count="2">
    <mergeCell ref="A9:F9"/>
    <mergeCell ref="A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CFB2-8593-834A-9789-805B568C0EE1}">
  <dimension ref="A1:AC144"/>
  <sheetViews>
    <sheetView tabSelected="1" workbookViewId="0">
      <pane xSplit="2" ySplit="2" topLeftCell="C138" activePane="bottomRight" state="frozen"/>
      <selection pane="topRight" activeCell="C1" sqref="C1"/>
      <selection pane="bottomLeft" activeCell="A3" sqref="A3"/>
      <selection pane="bottomRight" activeCell="L146" sqref="L146"/>
    </sheetView>
  </sheetViews>
  <sheetFormatPr baseColWidth="10" defaultRowHeight="16" x14ac:dyDescent="0.2"/>
  <cols>
    <col min="1" max="15" width="10.6640625" style="23"/>
    <col min="16" max="16" width="10.6640625" style="38"/>
    <col min="17" max="18" width="10.6640625" style="39"/>
    <col min="19" max="22" width="10.6640625" style="23"/>
    <col min="23" max="23" width="14.5" style="23" customWidth="1"/>
    <col min="24" max="24" width="10.6640625" style="23"/>
    <col min="25" max="25" width="16.5" style="23" customWidth="1"/>
    <col min="26" max="29" width="10.6640625" style="23"/>
  </cols>
  <sheetData>
    <row r="1" spans="1:24" ht="18" x14ac:dyDescent="0.25">
      <c r="A1" s="19" t="s">
        <v>0</v>
      </c>
      <c r="B1" s="19" t="s">
        <v>1</v>
      </c>
      <c r="C1" s="19" t="s">
        <v>90</v>
      </c>
      <c r="D1" s="19" t="s">
        <v>2</v>
      </c>
      <c r="E1" s="19" t="s">
        <v>91</v>
      </c>
      <c r="F1" s="19" t="s">
        <v>2</v>
      </c>
      <c r="G1" s="19" t="s">
        <v>92</v>
      </c>
      <c r="H1" s="19" t="s">
        <v>2</v>
      </c>
      <c r="I1" s="19" t="s">
        <v>3</v>
      </c>
      <c r="J1" s="19" t="s">
        <v>4</v>
      </c>
      <c r="K1" s="19" t="s">
        <v>5</v>
      </c>
      <c r="L1" s="19" t="s">
        <v>6</v>
      </c>
      <c r="M1" s="19" t="s">
        <v>2</v>
      </c>
      <c r="N1" s="19" t="s">
        <v>29</v>
      </c>
      <c r="O1" s="19" t="s">
        <v>2</v>
      </c>
      <c r="P1" s="20" t="s">
        <v>82</v>
      </c>
      <c r="Q1" s="19" t="s">
        <v>77</v>
      </c>
      <c r="R1" s="19" t="s">
        <v>2</v>
      </c>
      <c r="S1" s="19" t="s">
        <v>93</v>
      </c>
      <c r="T1" s="21" t="s">
        <v>94</v>
      </c>
      <c r="U1" s="19" t="s">
        <v>7</v>
      </c>
      <c r="V1" s="22" t="s">
        <v>8</v>
      </c>
      <c r="W1" s="22" t="s">
        <v>26</v>
      </c>
    </row>
    <row r="2" spans="1:24" x14ac:dyDescent="0.2">
      <c r="A2" s="24"/>
      <c r="B2" s="24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24" t="s">
        <v>10</v>
      </c>
      <c r="I2" s="24" t="s">
        <v>11</v>
      </c>
      <c r="J2" s="1" t="s">
        <v>11</v>
      </c>
      <c r="K2" s="1" t="s">
        <v>11</v>
      </c>
      <c r="L2" s="24" t="s">
        <v>10</v>
      </c>
      <c r="M2" s="24" t="s">
        <v>10</v>
      </c>
      <c r="N2" s="24" t="s">
        <v>10</v>
      </c>
      <c r="O2" s="24" t="s">
        <v>10</v>
      </c>
      <c r="P2" s="25"/>
      <c r="Q2" s="1"/>
      <c r="R2" s="1"/>
      <c r="S2" s="24" t="s">
        <v>10</v>
      </c>
      <c r="T2" s="26" t="s">
        <v>10</v>
      </c>
      <c r="U2" s="1" t="s">
        <v>10</v>
      </c>
      <c r="V2" s="27"/>
      <c r="X2" s="28" t="s">
        <v>83</v>
      </c>
    </row>
    <row r="3" spans="1:24" x14ac:dyDescent="0.2">
      <c r="A3" s="29" t="s">
        <v>12</v>
      </c>
      <c r="B3" s="29">
        <v>35.270000000000003</v>
      </c>
      <c r="C3" s="30">
        <v>0.13043677937996101</v>
      </c>
      <c r="D3" s="29" t="s">
        <v>13</v>
      </c>
      <c r="E3" s="30">
        <v>0.1304610426167141</v>
      </c>
      <c r="F3" s="29" t="s">
        <v>13</v>
      </c>
      <c r="G3" s="31">
        <v>-2.3E-2</v>
      </c>
      <c r="H3" s="29">
        <v>6.0000000000000001E-3</v>
      </c>
      <c r="I3" s="29">
        <v>0.35</v>
      </c>
      <c r="J3" s="31">
        <v>9.0909090909090898E-2</v>
      </c>
      <c r="K3" s="31">
        <v>9.7413873806133797E-2</v>
      </c>
      <c r="L3" s="29" t="s">
        <v>13</v>
      </c>
      <c r="M3" s="29" t="s">
        <v>13</v>
      </c>
      <c r="N3" s="29"/>
      <c r="O3" s="29"/>
      <c r="P3" s="32"/>
      <c r="Q3" s="31"/>
      <c r="R3" s="31"/>
      <c r="S3" s="29">
        <v>-35.559359999999998</v>
      </c>
      <c r="T3" s="33">
        <v>-283.05779999999999</v>
      </c>
      <c r="U3" s="31">
        <v>1.4170799999999986</v>
      </c>
      <c r="V3" s="34" t="s">
        <v>14</v>
      </c>
      <c r="W3" s="23" t="s">
        <v>27</v>
      </c>
    </row>
    <row r="4" spans="1:24" x14ac:dyDescent="0.2">
      <c r="A4" s="29" t="s">
        <v>12</v>
      </c>
      <c r="B4" s="29">
        <v>79.02</v>
      </c>
      <c r="C4" s="30">
        <v>0.18137741356305526</v>
      </c>
      <c r="D4" s="29" t="s">
        <v>13</v>
      </c>
      <c r="E4" s="30">
        <v>0.20671573897956819</v>
      </c>
      <c r="F4" s="29" t="s">
        <v>13</v>
      </c>
      <c r="G4" s="31">
        <v>-3.7999999999999999E-2</v>
      </c>
      <c r="H4" s="29">
        <v>6.0000000000000001E-3</v>
      </c>
      <c r="I4" s="29">
        <v>0.56999999999999995</v>
      </c>
      <c r="J4" s="31">
        <v>9.0909090909090898E-2</v>
      </c>
      <c r="K4" s="31">
        <v>0.10730080526220399</v>
      </c>
      <c r="L4" s="29" t="s">
        <v>13</v>
      </c>
      <c r="M4" s="29" t="s">
        <v>13</v>
      </c>
      <c r="N4" s="29"/>
      <c r="O4" s="29"/>
      <c r="P4" s="32"/>
      <c r="Q4" s="31"/>
      <c r="R4" s="31"/>
      <c r="S4" s="29">
        <v>-37.640880000000003</v>
      </c>
      <c r="T4" s="33">
        <v>-300.86700000000002</v>
      </c>
      <c r="U4" s="31">
        <v>0.2600400000000036</v>
      </c>
      <c r="V4" s="34" t="s">
        <v>14</v>
      </c>
      <c r="W4" s="23" t="s">
        <v>27</v>
      </c>
    </row>
    <row r="5" spans="1:24" x14ac:dyDescent="0.2">
      <c r="A5" s="29" t="s">
        <v>12</v>
      </c>
      <c r="B5" s="29">
        <v>115.45</v>
      </c>
      <c r="C5" s="30">
        <v>0.13720375853343292</v>
      </c>
      <c r="D5" s="29" t="s">
        <v>13</v>
      </c>
      <c r="E5" s="30">
        <v>0.17481957733211928</v>
      </c>
      <c r="F5" s="29" t="s">
        <v>13</v>
      </c>
      <c r="G5" s="31">
        <v>-3.5000000000000003E-2</v>
      </c>
      <c r="H5" s="29">
        <v>6.0000000000000001E-3</v>
      </c>
      <c r="I5" s="29">
        <v>0.53</v>
      </c>
      <c r="J5" s="31">
        <v>9.0909090909090912E-2</v>
      </c>
      <c r="K5" s="31">
        <v>0.105230522235316</v>
      </c>
      <c r="L5" s="29" t="s">
        <v>13</v>
      </c>
      <c r="M5" s="29" t="s">
        <v>13</v>
      </c>
      <c r="N5" s="29"/>
      <c r="O5" s="29"/>
      <c r="P5" s="32"/>
      <c r="Q5" s="31"/>
      <c r="R5" s="31"/>
      <c r="S5" s="29"/>
      <c r="T5" s="33">
        <v>-325.60199999999998</v>
      </c>
      <c r="U5" s="31"/>
      <c r="V5" s="34" t="s">
        <v>14</v>
      </c>
      <c r="W5" s="23" t="s">
        <v>27</v>
      </c>
    </row>
    <row r="6" spans="1:24" x14ac:dyDescent="0.2">
      <c r="A6" s="29" t="s">
        <v>12</v>
      </c>
      <c r="B6" s="29">
        <v>142.91</v>
      </c>
      <c r="C6" s="30">
        <v>0.23768116008504592</v>
      </c>
      <c r="D6" s="29" t="s">
        <v>13</v>
      </c>
      <c r="E6" s="30">
        <v>0.26410154536127273</v>
      </c>
      <c r="F6" s="29" t="s">
        <v>13</v>
      </c>
      <c r="G6" s="31">
        <v>-3.5000000000000003E-2</v>
      </c>
      <c r="H6" s="29">
        <v>6.0000000000000001E-3</v>
      </c>
      <c r="I6" s="29">
        <v>0.53</v>
      </c>
      <c r="J6" s="31">
        <v>9.0909090909090912E-2</v>
      </c>
      <c r="K6" s="31">
        <v>0.105230522235316</v>
      </c>
      <c r="L6" s="29" t="s">
        <v>13</v>
      </c>
      <c r="M6" s="29" t="s">
        <v>13</v>
      </c>
      <c r="N6" s="29"/>
      <c r="O6" s="29"/>
      <c r="P6" s="32"/>
      <c r="Q6" s="31"/>
      <c r="R6" s="31"/>
      <c r="S6" s="29">
        <v>-35.955840000000002</v>
      </c>
      <c r="T6" s="33">
        <v>-288.99419999999998</v>
      </c>
      <c r="U6" s="31">
        <v>-1.3474799999999618</v>
      </c>
      <c r="V6" s="34" t="s">
        <v>14</v>
      </c>
      <c r="W6" s="23" t="s">
        <v>27</v>
      </c>
    </row>
    <row r="7" spans="1:24" x14ac:dyDescent="0.2">
      <c r="A7" s="29" t="s">
        <v>12</v>
      </c>
      <c r="B7" s="29">
        <v>171.73</v>
      </c>
      <c r="C7" s="30">
        <v>0.12092249119133314</v>
      </c>
      <c r="D7" s="29" t="s">
        <v>13</v>
      </c>
      <c r="E7" s="30">
        <v>0.1560137202949452</v>
      </c>
      <c r="F7" s="29" t="s">
        <v>13</v>
      </c>
      <c r="G7" s="31">
        <v>-0.05</v>
      </c>
      <c r="H7" s="29">
        <v>6.0000000000000001E-3</v>
      </c>
      <c r="I7" s="29">
        <v>0.75</v>
      </c>
      <c r="J7" s="31">
        <v>9.0909090909090912E-2</v>
      </c>
      <c r="K7" s="31">
        <v>0.11785356511331101</v>
      </c>
      <c r="L7" s="29" t="s">
        <v>13</v>
      </c>
      <c r="M7" s="29" t="s">
        <v>13</v>
      </c>
      <c r="N7" s="29"/>
      <c r="O7" s="29"/>
      <c r="P7" s="32"/>
      <c r="Q7" s="31"/>
      <c r="R7" s="31"/>
      <c r="S7" s="29">
        <v>-38.334719999999997</v>
      </c>
      <c r="T7" s="33">
        <v>-305.81400000000002</v>
      </c>
      <c r="U7" s="31">
        <v>0.86375999999995656</v>
      </c>
      <c r="V7" s="34" t="s">
        <v>14</v>
      </c>
      <c r="W7" s="23" t="s">
        <v>27</v>
      </c>
    </row>
    <row r="8" spans="1:24" x14ac:dyDescent="0.2">
      <c r="A8" s="29" t="s">
        <v>12</v>
      </c>
      <c r="B8" s="29">
        <v>174.2</v>
      </c>
      <c r="C8" s="30">
        <v>0.10340000000000001</v>
      </c>
      <c r="D8" s="29" t="s">
        <v>13</v>
      </c>
      <c r="E8" s="30">
        <v>0.1452</v>
      </c>
      <c r="F8" s="29" t="s">
        <v>13</v>
      </c>
      <c r="G8" s="31">
        <v>-4.2000000000000003E-2</v>
      </c>
      <c r="H8" s="29">
        <v>6.0000000000000001E-3</v>
      </c>
      <c r="I8" s="29">
        <v>0.64</v>
      </c>
      <c r="J8" s="31">
        <v>9.0909090909090912E-2</v>
      </c>
      <c r="K8" s="31">
        <v>0.11117761829575799</v>
      </c>
      <c r="L8" s="29" t="s">
        <v>13</v>
      </c>
      <c r="M8" s="29" t="s">
        <v>13</v>
      </c>
      <c r="N8" s="29"/>
      <c r="O8" s="29"/>
      <c r="P8" s="32"/>
      <c r="Q8" s="31"/>
      <c r="R8" s="31"/>
      <c r="S8" s="29">
        <v>-37.74</v>
      </c>
      <c r="T8" s="33">
        <v>-300.86700000000002</v>
      </c>
      <c r="U8" s="31">
        <v>1.0529999999999973</v>
      </c>
      <c r="V8" s="34" t="s">
        <v>14</v>
      </c>
      <c r="W8" s="23" t="s">
        <v>27</v>
      </c>
    </row>
    <row r="9" spans="1:24" x14ac:dyDescent="0.2">
      <c r="A9" s="29" t="s">
        <v>12</v>
      </c>
      <c r="B9" s="29">
        <v>177.23</v>
      </c>
      <c r="C9" s="30">
        <v>7.7100000000000002E-2</v>
      </c>
      <c r="D9" s="29" t="s">
        <v>13</v>
      </c>
      <c r="E9" s="30">
        <v>0.1678</v>
      </c>
      <c r="F9" s="29" t="s">
        <v>13</v>
      </c>
      <c r="G9" s="31">
        <v>-9.0999999999999998E-2</v>
      </c>
      <c r="H9" s="29">
        <v>6.0000000000000001E-3</v>
      </c>
      <c r="I9" s="29">
        <v>1.38</v>
      </c>
      <c r="J9" s="31">
        <v>9.0909090909090912E-2</v>
      </c>
      <c r="K9" s="31">
        <v>0.16525272406201799</v>
      </c>
      <c r="L9" s="29" t="s">
        <v>13</v>
      </c>
      <c r="M9" s="29" t="s">
        <v>13</v>
      </c>
      <c r="N9" s="29"/>
      <c r="O9" s="29"/>
      <c r="P9" s="32"/>
      <c r="Q9" s="31"/>
      <c r="R9" s="31"/>
      <c r="S9" s="29">
        <v>-37.14528</v>
      </c>
      <c r="T9" s="33">
        <v>-295.92</v>
      </c>
      <c r="U9" s="31">
        <v>1.2422399999999811</v>
      </c>
      <c r="V9" s="34" t="s">
        <v>15</v>
      </c>
      <c r="W9" s="23" t="s">
        <v>27</v>
      </c>
    </row>
    <row r="10" spans="1:24" x14ac:dyDescent="0.2">
      <c r="A10" s="29" t="s">
        <v>12</v>
      </c>
      <c r="B10" s="29">
        <v>180.77</v>
      </c>
      <c r="C10" s="30">
        <v>0.184</v>
      </c>
      <c r="D10" s="29" t="s">
        <v>13</v>
      </c>
      <c r="E10" s="30">
        <v>0.21190000000000001</v>
      </c>
      <c r="F10" s="29" t="s">
        <v>13</v>
      </c>
      <c r="G10" s="31">
        <v>-2.8000000000000001E-2</v>
      </c>
      <c r="H10" s="29">
        <v>6.0000000000000001E-3</v>
      </c>
      <c r="I10" s="29">
        <v>0.43</v>
      </c>
      <c r="J10" s="31">
        <v>9.0909090909090912E-2</v>
      </c>
      <c r="K10" s="31">
        <v>0.100565713888568</v>
      </c>
      <c r="L10" s="29" t="s">
        <v>13</v>
      </c>
      <c r="M10" s="29" t="s">
        <v>13</v>
      </c>
      <c r="N10" s="29"/>
      <c r="O10" s="29"/>
      <c r="P10" s="32"/>
      <c r="Q10" s="31"/>
      <c r="R10" s="31"/>
      <c r="S10" s="29">
        <v>-38.532960000000003</v>
      </c>
      <c r="T10" s="33">
        <v>-309.77159999999998</v>
      </c>
      <c r="U10" s="31">
        <v>-1.507919999999956</v>
      </c>
      <c r="V10" s="34" t="s">
        <v>15</v>
      </c>
      <c r="W10" s="23" t="s">
        <v>27</v>
      </c>
    </row>
    <row r="11" spans="1:24" x14ac:dyDescent="0.2">
      <c r="A11" s="29" t="s">
        <v>12</v>
      </c>
      <c r="B11" s="29">
        <v>182.2</v>
      </c>
      <c r="C11" s="30">
        <v>0.1842</v>
      </c>
      <c r="D11" s="29" t="s">
        <v>13</v>
      </c>
      <c r="E11" s="30">
        <v>0.2165</v>
      </c>
      <c r="F11" s="29" t="s">
        <v>13</v>
      </c>
      <c r="G11" s="31">
        <v>-3.3000000000000002E-2</v>
      </c>
      <c r="H11" s="29">
        <v>6.0000000000000001E-3</v>
      </c>
      <c r="I11" s="29">
        <v>0.5</v>
      </c>
      <c r="J11" s="31">
        <v>9.0909090909090912E-2</v>
      </c>
      <c r="K11" s="31">
        <v>0.103751929186485</v>
      </c>
      <c r="L11" s="29" t="s">
        <v>13</v>
      </c>
      <c r="M11" s="29" t="s">
        <v>13</v>
      </c>
      <c r="N11" s="29"/>
      <c r="O11" s="29"/>
      <c r="P11" s="32"/>
      <c r="Q11" s="31"/>
      <c r="R11" s="31"/>
      <c r="S11" s="29">
        <v>-38.83032</v>
      </c>
      <c r="T11" s="33">
        <v>-311.75040000000001</v>
      </c>
      <c r="U11" s="31">
        <v>-1.1078400000000101</v>
      </c>
      <c r="V11" s="34" t="s">
        <v>15</v>
      </c>
      <c r="W11" s="23" t="s">
        <v>27</v>
      </c>
    </row>
    <row r="12" spans="1:24" x14ac:dyDescent="0.2">
      <c r="A12" s="29" t="s">
        <v>12</v>
      </c>
      <c r="B12" s="29">
        <v>184.49</v>
      </c>
      <c r="C12" s="30">
        <v>6.08E-2</v>
      </c>
      <c r="D12" s="29" t="s">
        <v>13</v>
      </c>
      <c r="E12" s="30">
        <v>0.1855</v>
      </c>
      <c r="F12" s="29" t="s">
        <v>13</v>
      </c>
      <c r="G12" s="31">
        <v>-0.125</v>
      </c>
      <c r="H12" s="29">
        <v>6.0000000000000001E-3</v>
      </c>
      <c r="I12" s="29">
        <v>1.9</v>
      </c>
      <c r="J12" s="31">
        <v>9.0909090909090912E-2</v>
      </c>
      <c r="K12" s="31">
        <v>0.21062873215664898</v>
      </c>
      <c r="L12" s="29" t="s">
        <v>13</v>
      </c>
      <c r="M12" s="29" t="s">
        <v>13</v>
      </c>
      <c r="N12" s="29"/>
      <c r="O12" s="29"/>
      <c r="P12" s="32"/>
      <c r="Q12" s="31"/>
      <c r="R12" s="31"/>
      <c r="S12" s="29">
        <v>-37.14528</v>
      </c>
      <c r="T12" s="33">
        <v>-296.90940000000001</v>
      </c>
      <c r="U12" s="31">
        <v>0.25283999999999196</v>
      </c>
      <c r="V12" s="34" t="s">
        <v>15</v>
      </c>
      <c r="W12" s="23" t="s">
        <v>27</v>
      </c>
    </row>
    <row r="13" spans="1:24" x14ac:dyDescent="0.2">
      <c r="A13" s="29" t="s">
        <v>12</v>
      </c>
      <c r="B13" s="29">
        <v>186.67</v>
      </c>
      <c r="C13" s="30">
        <v>3.2654154092259802E-2</v>
      </c>
      <c r="D13" s="29" t="s">
        <v>13</v>
      </c>
      <c r="E13" s="30">
        <v>0.17252958976254895</v>
      </c>
      <c r="F13" s="29" t="s">
        <v>13</v>
      </c>
      <c r="G13" s="31">
        <v>-0.14899999999999999</v>
      </c>
      <c r="H13" s="29">
        <v>6.0000000000000001E-3</v>
      </c>
      <c r="I13" s="29">
        <v>2.2599999999999998</v>
      </c>
      <c r="J13" s="31">
        <v>9.0909090909090912E-2</v>
      </c>
      <c r="K13" s="31">
        <v>0.24359897949276699</v>
      </c>
      <c r="L13" s="29" t="s">
        <v>13</v>
      </c>
      <c r="M13" s="29" t="s">
        <v>13</v>
      </c>
      <c r="N13" s="29"/>
      <c r="O13" s="29"/>
      <c r="P13" s="32"/>
      <c r="Q13" s="31"/>
      <c r="R13" s="31"/>
      <c r="S13" s="29">
        <v>-35.757599999999996</v>
      </c>
      <c r="T13" s="33">
        <v>-284.04719999999998</v>
      </c>
      <c r="U13" s="31">
        <v>2.0135999999999967</v>
      </c>
      <c r="V13" s="34" t="s">
        <v>15</v>
      </c>
      <c r="W13" s="23" t="s">
        <v>27</v>
      </c>
    </row>
    <row r="14" spans="1:24" x14ac:dyDescent="0.2">
      <c r="A14" s="29" t="s">
        <v>12</v>
      </c>
      <c r="B14" s="29">
        <v>190</v>
      </c>
      <c r="C14" s="30">
        <v>9.0800000000000006E-2</v>
      </c>
      <c r="D14" s="29" t="s">
        <v>13</v>
      </c>
      <c r="E14" s="30">
        <v>0.14879999999999999</v>
      </c>
      <c r="F14" s="29" t="s">
        <v>13</v>
      </c>
      <c r="G14" s="31">
        <v>-5.8000000000000003E-2</v>
      </c>
      <c r="H14" s="29">
        <v>6.0000000000000001E-3</v>
      </c>
      <c r="I14" s="29">
        <v>0.88</v>
      </c>
      <c r="J14" s="31">
        <v>9.0909090909090912E-2</v>
      </c>
      <c r="K14" s="31">
        <v>0.12652455417790398</v>
      </c>
      <c r="L14" s="29" t="s">
        <v>13</v>
      </c>
      <c r="M14" s="29" t="s">
        <v>13</v>
      </c>
      <c r="N14" s="29"/>
      <c r="O14" s="29"/>
      <c r="P14" s="32"/>
      <c r="Q14" s="31"/>
      <c r="R14" s="31"/>
      <c r="S14" s="29">
        <v>-36.847920000000002</v>
      </c>
      <c r="T14" s="33">
        <v>-292.95179999999999</v>
      </c>
      <c r="U14" s="31">
        <v>1.8315600000000245</v>
      </c>
      <c r="V14" s="34" t="s">
        <v>15</v>
      </c>
      <c r="W14" s="23" t="s">
        <v>27</v>
      </c>
    </row>
    <row r="15" spans="1:24" x14ac:dyDescent="0.2">
      <c r="A15" s="29" t="s">
        <v>16</v>
      </c>
      <c r="B15" s="29">
        <v>126.98</v>
      </c>
      <c r="C15" s="30">
        <v>8.7864049919783582E-2</v>
      </c>
      <c r="D15" s="29" t="s">
        <v>13</v>
      </c>
      <c r="E15" s="30">
        <v>0.15559309167390012</v>
      </c>
      <c r="F15" s="29" t="s">
        <v>13</v>
      </c>
      <c r="G15" s="31">
        <v>-4.9000000000000002E-2</v>
      </c>
      <c r="H15" s="29">
        <v>6.0000000000000001E-3</v>
      </c>
      <c r="I15" s="29">
        <v>0.74</v>
      </c>
      <c r="J15" s="31">
        <v>9.0909090909090912E-2</v>
      </c>
      <c r="K15" s="31">
        <v>0.117219720226237</v>
      </c>
      <c r="L15" s="29" t="s">
        <v>13</v>
      </c>
      <c r="M15" s="29" t="s">
        <v>13</v>
      </c>
      <c r="N15" s="29"/>
      <c r="O15" s="29"/>
      <c r="P15" s="32"/>
      <c r="Q15" s="31"/>
      <c r="R15" s="31"/>
      <c r="S15" s="29">
        <v>-38.03736</v>
      </c>
      <c r="T15" s="33">
        <v>-303.83519999999999</v>
      </c>
      <c r="U15" s="31">
        <v>0.46368000000001075</v>
      </c>
      <c r="V15" s="34" t="s">
        <v>14</v>
      </c>
      <c r="W15" s="23" t="s">
        <v>27</v>
      </c>
    </row>
    <row r="16" spans="1:24" x14ac:dyDescent="0.2">
      <c r="A16" s="29" t="s">
        <v>16</v>
      </c>
      <c r="B16" s="29">
        <v>132.07</v>
      </c>
      <c r="C16" s="30">
        <v>6.5557083652523218E-2</v>
      </c>
      <c r="D16" s="29" t="s">
        <v>13</v>
      </c>
      <c r="E16" s="30">
        <v>0.15454647473078786</v>
      </c>
      <c r="F16" s="29" t="s">
        <v>13</v>
      </c>
      <c r="G16" s="31">
        <v>-0.10199999999999999</v>
      </c>
      <c r="H16" s="29">
        <v>6.0000000000000001E-3</v>
      </c>
      <c r="I16" s="29">
        <v>1.55</v>
      </c>
      <c r="J16" s="31">
        <v>9.0909090909090912E-2</v>
      </c>
      <c r="K16" s="31">
        <v>0.179692689917863</v>
      </c>
      <c r="L16" s="29" t="s">
        <v>13</v>
      </c>
      <c r="M16" s="29" t="s">
        <v>13</v>
      </c>
      <c r="N16" s="29"/>
      <c r="O16" s="29"/>
      <c r="P16" s="32"/>
      <c r="Q16" s="31"/>
      <c r="R16" s="31"/>
      <c r="S16" s="29">
        <v>-36.748800000000003</v>
      </c>
      <c r="T16" s="33">
        <v>-292.95179999999999</v>
      </c>
      <c r="U16" s="31">
        <v>1.0386000000000308</v>
      </c>
      <c r="V16" s="34" t="s">
        <v>15</v>
      </c>
      <c r="W16" s="23" t="s">
        <v>27</v>
      </c>
    </row>
    <row r="17" spans="1:24" x14ac:dyDescent="0.2">
      <c r="A17" s="29" t="s">
        <v>16</v>
      </c>
      <c r="B17" s="29">
        <v>137.05000000000001</v>
      </c>
      <c r="C17" s="30">
        <v>6.5685605887155774E-2</v>
      </c>
      <c r="D17" s="29" t="s">
        <v>13</v>
      </c>
      <c r="E17" s="30">
        <v>0.1473836366334691</v>
      </c>
      <c r="F17" s="29" t="s">
        <v>13</v>
      </c>
      <c r="G17" s="31">
        <v>-9.2999999999999999E-2</v>
      </c>
      <c r="H17" s="29">
        <v>6.0000000000000001E-3</v>
      </c>
      <c r="I17" s="29">
        <v>1.41</v>
      </c>
      <c r="J17" s="31">
        <v>9.0909090909090912E-2</v>
      </c>
      <c r="K17" s="31">
        <v>0.16776609553159802</v>
      </c>
      <c r="L17" s="29" t="s">
        <v>13</v>
      </c>
      <c r="M17" s="29" t="s">
        <v>13</v>
      </c>
      <c r="N17" s="29"/>
      <c r="O17" s="29"/>
      <c r="P17" s="32"/>
      <c r="Q17" s="31"/>
      <c r="R17" s="31"/>
      <c r="S17" s="29">
        <v>-35.559359999999998</v>
      </c>
      <c r="T17" s="33">
        <v>-280.08960000000002</v>
      </c>
      <c r="U17" s="31">
        <v>4.3852799999999661</v>
      </c>
      <c r="V17" s="34" t="s">
        <v>15</v>
      </c>
      <c r="W17" s="23" t="s">
        <v>27</v>
      </c>
    </row>
    <row r="18" spans="1:24" x14ac:dyDescent="0.2">
      <c r="A18" s="29" t="s">
        <v>16</v>
      </c>
      <c r="B18" s="29">
        <v>139.11000000000001</v>
      </c>
      <c r="C18" s="30">
        <v>0.1716</v>
      </c>
      <c r="D18" s="29" t="s">
        <v>13</v>
      </c>
      <c r="E18" s="30">
        <v>0.21629999999999999</v>
      </c>
      <c r="F18" s="29" t="s">
        <v>13</v>
      </c>
      <c r="G18" s="31">
        <v>-4.4999999999999998E-2</v>
      </c>
      <c r="H18" s="29">
        <v>6.0000000000000001E-3</v>
      </c>
      <c r="I18" s="29">
        <v>0.68</v>
      </c>
      <c r="J18" s="31">
        <v>9.0909090909090912E-2</v>
      </c>
      <c r="K18" s="31">
        <v>0.113527365907597</v>
      </c>
      <c r="L18" s="29" t="s">
        <v>13</v>
      </c>
      <c r="M18" s="29" t="s">
        <v>13</v>
      </c>
      <c r="N18" s="29"/>
      <c r="O18" s="29"/>
      <c r="P18" s="32"/>
      <c r="Q18" s="31"/>
      <c r="R18" s="31"/>
      <c r="S18" s="29">
        <v>-38.433839999999996</v>
      </c>
      <c r="T18" s="33">
        <v>-307.7928</v>
      </c>
      <c r="U18" s="31">
        <v>-0.32208000000002812</v>
      </c>
      <c r="V18" s="34" t="s">
        <v>15</v>
      </c>
      <c r="W18" s="23" t="s">
        <v>27</v>
      </c>
    </row>
    <row r="19" spans="1:24" x14ac:dyDescent="0.2">
      <c r="A19" s="29" t="s">
        <v>16</v>
      </c>
      <c r="B19" s="29">
        <v>141.32</v>
      </c>
      <c r="C19" s="30">
        <v>1.12E-2</v>
      </c>
      <c r="D19" s="29" t="s">
        <v>13</v>
      </c>
      <c r="E19" s="30">
        <v>0.14080000000000001</v>
      </c>
      <c r="F19" s="29" t="s">
        <v>13</v>
      </c>
      <c r="G19" s="31">
        <v>-0.13</v>
      </c>
      <c r="H19" s="29">
        <v>6.0000000000000001E-3</v>
      </c>
      <c r="I19" s="29">
        <v>1.97</v>
      </c>
      <c r="J19" s="31">
        <v>9.0909090909090912E-2</v>
      </c>
      <c r="K19" s="31">
        <v>0.21696419706928</v>
      </c>
      <c r="L19" s="29" t="s">
        <v>13</v>
      </c>
      <c r="M19" s="29" t="s">
        <v>13</v>
      </c>
      <c r="N19" s="29"/>
      <c r="O19" s="29"/>
      <c r="P19" s="32"/>
      <c r="Q19" s="31"/>
      <c r="R19" s="31"/>
      <c r="S19" s="29">
        <v>-36.947040000000001</v>
      </c>
      <c r="T19" s="33">
        <v>-293.94119999999998</v>
      </c>
      <c r="U19" s="31">
        <v>1.635120000000029</v>
      </c>
      <c r="V19" s="34" t="s">
        <v>15</v>
      </c>
      <c r="W19" s="23" t="s">
        <v>27</v>
      </c>
    </row>
    <row r="20" spans="1:24" x14ac:dyDescent="0.2">
      <c r="A20" s="29" t="s">
        <v>16</v>
      </c>
      <c r="B20" s="29">
        <v>143.75</v>
      </c>
      <c r="C20" s="30">
        <v>-3.5000000000000001E-3</v>
      </c>
      <c r="D20" s="29" t="s">
        <v>13</v>
      </c>
      <c r="E20" s="30">
        <v>0.1023</v>
      </c>
      <c r="F20" s="29" t="s">
        <v>13</v>
      </c>
      <c r="G20" s="31">
        <v>-0.106</v>
      </c>
      <c r="H20" s="29">
        <v>6.0000000000000001E-3</v>
      </c>
      <c r="I20" s="29">
        <v>1.61</v>
      </c>
      <c r="J20" s="31">
        <v>9.0909090909090912E-2</v>
      </c>
      <c r="K20" s="31">
        <v>0.184893111850921</v>
      </c>
      <c r="L20" s="29" t="s">
        <v>13</v>
      </c>
      <c r="M20" s="29" t="s">
        <v>13</v>
      </c>
      <c r="N20" s="29"/>
      <c r="O20" s="29"/>
      <c r="P20" s="32"/>
      <c r="Q20" s="31"/>
      <c r="R20" s="31"/>
      <c r="S20" s="29">
        <v>-37.442639999999997</v>
      </c>
      <c r="T20" s="33">
        <v>-296.90940000000001</v>
      </c>
      <c r="U20" s="31">
        <v>2.631719999999973</v>
      </c>
      <c r="V20" s="34" t="s">
        <v>15</v>
      </c>
      <c r="W20" s="23" t="s">
        <v>27</v>
      </c>
    </row>
    <row r="21" spans="1:24" x14ac:dyDescent="0.2">
      <c r="A21" s="29" t="s">
        <v>16</v>
      </c>
      <c r="B21" s="29">
        <v>145.4</v>
      </c>
      <c r="C21" s="30">
        <v>-6.6E-3</v>
      </c>
      <c r="D21" s="29" t="s">
        <v>13</v>
      </c>
      <c r="E21" s="30">
        <v>0.12609999999999999</v>
      </c>
      <c r="F21" s="29" t="s">
        <v>13</v>
      </c>
      <c r="G21" s="31">
        <v>-0.13300000000000001</v>
      </c>
      <c r="H21" s="29">
        <v>6.0000000000000001E-3</v>
      </c>
      <c r="I21" s="29">
        <v>2.0099999999999998</v>
      </c>
      <c r="J21" s="31">
        <v>9.0909090909090912E-2</v>
      </c>
      <c r="K21" s="31">
        <v>0.22060249955500799</v>
      </c>
      <c r="L21" s="29" t="s">
        <v>13</v>
      </c>
      <c r="M21" s="29" t="s">
        <v>13</v>
      </c>
      <c r="N21" s="29"/>
      <c r="O21" s="29"/>
      <c r="P21" s="32"/>
      <c r="Q21" s="31"/>
      <c r="R21" s="31"/>
      <c r="S21" s="29">
        <v>-36.550559999999997</v>
      </c>
      <c r="T21" s="33">
        <v>-290.97300000000001</v>
      </c>
      <c r="U21" s="31">
        <v>1.431479999999965</v>
      </c>
      <c r="V21" s="34" t="s">
        <v>15</v>
      </c>
      <c r="W21" s="23" t="s">
        <v>27</v>
      </c>
    </row>
    <row r="22" spans="1:24" x14ac:dyDescent="0.2">
      <c r="A22" s="29" t="s">
        <v>16</v>
      </c>
      <c r="B22" s="29">
        <v>146.47999999999999</v>
      </c>
      <c r="C22" s="30">
        <v>-2.0987998273436226E-2</v>
      </c>
      <c r="D22" s="29" t="s">
        <v>13</v>
      </c>
      <c r="E22" s="30">
        <v>0.14538219541937458</v>
      </c>
      <c r="F22" s="29" t="s">
        <v>13</v>
      </c>
      <c r="G22" s="31">
        <v>-0.17799999999999999</v>
      </c>
      <c r="H22" s="29">
        <v>6.0000000000000001E-3</v>
      </c>
      <c r="I22" s="29">
        <v>2.69</v>
      </c>
      <c r="J22" s="31">
        <v>9.0909090909090912E-2</v>
      </c>
      <c r="K22" s="31">
        <v>0.28394623225166704</v>
      </c>
      <c r="L22" s="29" t="s">
        <v>13</v>
      </c>
      <c r="M22" s="29" t="s">
        <v>13</v>
      </c>
      <c r="N22" s="29"/>
      <c r="O22" s="29"/>
      <c r="P22" s="32"/>
      <c r="Q22" s="31"/>
      <c r="R22" s="31"/>
      <c r="S22" s="29">
        <v>-35.955840000000002</v>
      </c>
      <c r="T22" s="33">
        <v>-285.03660000000002</v>
      </c>
      <c r="U22" s="31">
        <v>2.6101199999999949</v>
      </c>
      <c r="V22" s="34" t="s">
        <v>15</v>
      </c>
      <c r="W22" s="23" t="s">
        <v>27</v>
      </c>
    </row>
    <row r="23" spans="1:24" x14ac:dyDescent="0.2">
      <c r="A23" s="29" t="s">
        <v>17</v>
      </c>
      <c r="B23" s="29">
        <v>119.69499999999999</v>
      </c>
      <c r="C23" s="31">
        <v>0.24585941831167801</v>
      </c>
      <c r="D23" s="31">
        <v>4.3638913391689446E-3</v>
      </c>
      <c r="E23" s="31">
        <v>0.2736716857401067</v>
      </c>
      <c r="F23" s="31">
        <v>6.3666600717501272E-3</v>
      </c>
      <c r="G23" s="31">
        <v>-2.8718353416445908E-2</v>
      </c>
      <c r="H23" s="29">
        <v>3.5134607881191367E-3</v>
      </c>
      <c r="I23" s="29">
        <v>0.43512656691584706</v>
      </c>
      <c r="J23" s="31">
        <v>5.3234254365441498E-2</v>
      </c>
      <c r="K23" s="31">
        <v>6.8754906226423107E-2</v>
      </c>
      <c r="L23" s="29">
        <v>5.7231674939419719</v>
      </c>
      <c r="M23" s="29">
        <v>0.15531368980388796</v>
      </c>
      <c r="N23" s="29"/>
      <c r="O23" s="29"/>
      <c r="P23" s="32"/>
      <c r="Q23" s="31"/>
      <c r="R23" s="31"/>
      <c r="S23" s="29">
        <v>-35.945084006872499</v>
      </c>
      <c r="T23" s="33">
        <v>-289.21079323414898</v>
      </c>
      <c r="U23" s="31">
        <v>-1.6501211791689911</v>
      </c>
      <c r="V23" s="34" t="s">
        <v>14</v>
      </c>
      <c r="W23" s="35" t="s">
        <v>28</v>
      </c>
      <c r="X23" s="36"/>
    </row>
    <row r="24" spans="1:24" x14ac:dyDescent="0.2">
      <c r="A24" s="29" t="s">
        <v>17</v>
      </c>
      <c r="B24" s="29">
        <v>121.92499999999998</v>
      </c>
      <c r="C24" s="31">
        <v>8.9519216728506379E-2</v>
      </c>
      <c r="D24" s="31">
        <v>5.1815400692808026E-3</v>
      </c>
      <c r="E24" s="31">
        <v>0.12212518777299231</v>
      </c>
      <c r="F24" s="31">
        <v>5.5387577829557437E-3</v>
      </c>
      <c r="G24" s="31">
        <v>-3.0098278063439565E-2</v>
      </c>
      <c r="H24" s="29">
        <v>3.91664196483854E-3</v>
      </c>
      <c r="I24" s="29">
        <v>0.45603451611272067</v>
      </c>
      <c r="J24" s="31">
        <v>5.93430600733112E-2</v>
      </c>
      <c r="K24" s="31">
        <v>7.4841656700839101E-2</v>
      </c>
      <c r="L24" s="29">
        <v>6.2606420462076873</v>
      </c>
      <c r="M24" s="29">
        <v>0.17940999860929752</v>
      </c>
      <c r="N24" s="29"/>
      <c r="O24" s="29"/>
      <c r="P24" s="32"/>
      <c r="Q24" s="31"/>
      <c r="R24" s="31"/>
      <c r="S24" s="29">
        <v>-38.011391872749599</v>
      </c>
      <c r="T24" s="33">
        <v>-303.87520542143102</v>
      </c>
      <c r="U24" s="31">
        <v>0.21592956056576895</v>
      </c>
      <c r="V24" s="34" t="s">
        <v>14</v>
      </c>
      <c r="W24" s="35" t="s">
        <v>28</v>
      </c>
    </row>
    <row r="25" spans="1:24" x14ac:dyDescent="0.2">
      <c r="A25" s="29" t="s">
        <v>17</v>
      </c>
      <c r="B25" s="29">
        <v>123.32499999999999</v>
      </c>
      <c r="C25" s="31">
        <v>8.590990835810608E-2</v>
      </c>
      <c r="D25" s="31">
        <v>5.1815400692808026E-3</v>
      </c>
      <c r="E25" s="31">
        <v>0.12088735728266187</v>
      </c>
      <c r="F25" s="31">
        <v>5.5387577829557437E-3</v>
      </c>
      <c r="G25" s="31">
        <v>-3.6858541781259468E-2</v>
      </c>
      <c r="H25" s="29">
        <v>3.91664196483854E-3</v>
      </c>
      <c r="I25" s="29">
        <v>0.55846275426150704</v>
      </c>
      <c r="J25" s="31">
        <v>5.93430600733112E-2</v>
      </c>
      <c r="K25" s="31">
        <v>8.1488681777521194E-2</v>
      </c>
      <c r="L25" s="29">
        <v>5.6886542413006058</v>
      </c>
      <c r="M25" s="29">
        <v>0.17940999860929752</v>
      </c>
      <c r="N25" s="29"/>
      <c r="O25" s="29"/>
      <c r="P25" s="32"/>
      <c r="Q25" s="31"/>
      <c r="R25" s="31"/>
      <c r="S25" s="29">
        <v>-38.464901496157196</v>
      </c>
      <c r="T25" s="33">
        <v>-307.28612924745602</v>
      </c>
      <c r="U25" s="31">
        <v>0.43308272180155427</v>
      </c>
      <c r="V25" s="34" t="s">
        <v>14</v>
      </c>
      <c r="W25" s="35" t="s">
        <v>28</v>
      </c>
    </row>
    <row r="26" spans="1:24" x14ac:dyDescent="0.2">
      <c r="A26" s="29" t="s">
        <v>17</v>
      </c>
      <c r="B26" s="29">
        <v>124.905</v>
      </c>
      <c r="C26" s="31">
        <v>6.8775676704824207E-2</v>
      </c>
      <c r="D26" s="31">
        <v>5.4358544948261743E-3</v>
      </c>
      <c r="E26" s="31">
        <v>0.12625854850512042</v>
      </c>
      <c r="F26" s="31">
        <v>6.3666600717501272E-3</v>
      </c>
      <c r="G26" s="31">
        <v>-5.455137484811079E-2</v>
      </c>
      <c r="H26" s="29">
        <v>3.5134607881191367E-3</v>
      </c>
      <c r="I26" s="29">
        <v>0.82653598254713312</v>
      </c>
      <c r="J26" s="31">
        <v>5.3234254365441498E-2</v>
      </c>
      <c r="K26" s="31">
        <v>9.8313290771370604E-2</v>
      </c>
      <c r="L26" s="29">
        <v>5.9866023973778049</v>
      </c>
      <c r="M26" s="29">
        <v>0.15531368980388796</v>
      </c>
      <c r="N26" s="29"/>
      <c r="O26" s="29"/>
      <c r="P26" s="32"/>
      <c r="Q26" s="31"/>
      <c r="R26" s="31"/>
      <c r="S26" s="29">
        <v>-36.903426610111502</v>
      </c>
      <c r="T26" s="33">
        <v>-291.93317989879199</v>
      </c>
      <c r="U26" s="31">
        <v>3.2942329821000271</v>
      </c>
      <c r="V26" s="34" t="s">
        <v>14</v>
      </c>
      <c r="W26" s="35" t="s">
        <v>28</v>
      </c>
    </row>
    <row r="27" spans="1:24" x14ac:dyDescent="0.2">
      <c r="A27" s="29" t="s">
        <v>17</v>
      </c>
      <c r="B27" s="29">
        <v>128.13500000000002</v>
      </c>
      <c r="C27" s="31">
        <v>0.10989659477322888</v>
      </c>
      <c r="D27" s="31">
        <v>5.1815400692808026E-3</v>
      </c>
      <c r="E27" s="31">
        <v>0.15761671121250487</v>
      </c>
      <c r="F27" s="31">
        <v>5.5387577829557437E-3</v>
      </c>
      <c r="G27" s="31">
        <v>-4.0100934200926197E-2</v>
      </c>
      <c r="H27" s="29">
        <v>3.91664196483854E-3</v>
      </c>
      <c r="I27" s="29">
        <v>0.60758991213524538</v>
      </c>
      <c r="J27" s="31">
        <v>5.93430600733112E-2</v>
      </c>
      <c r="K27" s="31">
        <v>8.4930876553523105E-2</v>
      </c>
      <c r="L27" s="29">
        <v>6.1637530457321343</v>
      </c>
      <c r="M27" s="29">
        <v>0.17940999860929752</v>
      </c>
      <c r="N27" s="29"/>
      <c r="O27" s="29"/>
      <c r="P27" s="32"/>
      <c r="Q27" s="31"/>
      <c r="R27" s="31"/>
      <c r="S27" s="29">
        <v>-36.382588238785999</v>
      </c>
      <c r="T27" s="33">
        <v>-290.89874895748102</v>
      </c>
      <c r="U27" s="31">
        <v>0.16195695280697464</v>
      </c>
      <c r="V27" s="34" t="s">
        <v>14</v>
      </c>
      <c r="W27" s="35" t="s">
        <v>28</v>
      </c>
    </row>
    <row r="28" spans="1:24" x14ac:dyDescent="0.2">
      <c r="A28" s="29" t="s">
        <v>17</v>
      </c>
      <c r="B28" s="29">
        <v>128.91500000000002</v>
      </c>
      <c r="C28" s="31">
        <v>7.8421332932343546E-2</v>
      </c>
      <c r="D28" s="31">
        <v>4.9355379838008787E-3</v>
      </c>
      <c r="E28" s="31">
        <v>0.12527556880326252</v>
      </c>
      <c r="F28" s="31">
        <v>6.3666600717501272E-3</v>
      </c>
      <c r="G28" s="31">
        <v>-3.8987960040426373E-2</v>
      </c>
      <c r="H28" s="29">
        <v>3.5134607881191367E-3</v>
      </c>
      <c r="I28" s="29">
        <v>0.59072666727918743</v>
      </c>
      <c r="J28" s="31">
        <v>5.3234254365441498E-2</v>
      </c>
      <c r="K28" s="31">
        <v>7.9520222536108909E-2</v>
      </c>
      <c r="L28" s="29">
        <v>6.2898632633709983</v>
      </c>
      <c r="M28" s="29">
        <v>0.15531368980388796</v>
      </c>
      <c r="N28" s="29"/>
      <c r="O28" s="29"/>
      <c r="P28" s="32"/>
      <c r="Q28" s="31"/>
      <c r="R28" s="31"/>
      <c r="S28" s="29">
        <v>-38.006656978464797</v>
      </c>
      <c r="T28" s="33">
        <v>-302.44182039807203</v>
      </c>
      <c r="U28" s="31">
        <v>1.6114354296463489</v>
      </c>
      <c r="V28" s="34" t="s">
        <v>14</v>
      </c>
      <c r="W28" s="35" t="s">
        <v>28</v>
      </c>
    </row>
    <row r="29" spans="1:24" x14ac:dyDescent="0.2">
      <c r="A29" s="29" t="s">
        <v>17</v>
      </c>
      <c r="B29" s="29">
        <v>129.80500000000001</v>
      </c>
      <c r="C29" s="31">
        <v>9.9103151755874919E-2</v>
      </c>
      <c r="D29" s="31">
        <v>5.1815400692808026E-3</v>
      </c>
      <c r="E29" s="31">
        <v>0.1415883282651631</v>
      </c>
      <c r="F29" s="31">
        <v>5.5387577829557437E-3</v>
      </c>
      <c r="G29" s="31">
        <v>-3.8299420589749111E-2</v>
      </c>
      <c r="H29" s="29">
        <v>3.91664196483854E-3</v>
      </c>
      <c r="I29" s="29">
        <v>0.58029425135983503</v>
      </c>
      <c r="J29" s="31">
        <v>5.93430600733112E-2</v>
      </c>
      <c r="K29" s="31">
        <v>8.3000078075128006E-2</v>
      </c>
      <c r="L29" s="29">
        <v>6.0178842252818221</v>
      </c>
      <c r="M29" s="29">
        <v>0.17940999860929752</v>
      </c>
      <c r="N29" s="29"/>
      <c r="O29" s="29"/>
      <c r="P29" s="32"/>
      <c r="Q29" s="31"/>
      <c r="R29" s="31"/>
      <c r="S29" s="29">
        <v>-38.037907280744399</v>
      </c>
      <c r="T29" s="33">
        <v>-304.40239474413698</v>
      </c>
      <c r="U29" s="31">
        <v>-9.9136498181792376E-2</v>
      </c>
      <c r="V29" s="34" t="s">
        <v>14</v>
      </c>
      <c r="W29" s="35" t="s">
        <v>28</v>
      </c>
    </row>
    <row r="30" spans="1:24" x14ac:dyDescent="0.2">
      <c r="A30" s="29" t="s">
        <v>17</v>
      </c>
      <c r="B30" s="29">
        <v>130.655</v>
      </c>
      <c r="C30" s="31">
        <v>0.12911649600044761</v>
      </c>
      <c r="D30" s="31">
        <v>6.3008300271508088E-3</v>
      </c>
      <c r="E30" s="31">
        <v>0.17393715008262589</v>
      </c>
      <c r="F30" s="31">
        <v>6.3666600717501272E-3</v>
      </c>
      <c r="G30" s="31">
        <v>-4.4724204199986239E-2</v>
      </c>
      <c r="H30" s="29">
        <v>3.5134607881191367E-3</v>
      </c>
      <c r="I30" s="29">
        <v>0.677639457575549</v>
      </c>
      <c r="J30" s="31">
        <v>5.3234254365441498E-2</v>
      </c>
      <c r="K30" s="31">
        <v>8.6173303188849401E-2</v>
      </c>
      <c r="L30" s="29">
        <v>6.4634273542791831</v>
      </c>
      <c r="M30" s="29">
        <v>0.15531368980388796</v>
      </c>
      <c r="N30" s="29"/>
      <c r="O30" s="29"/>
      <c r="P30" s="32"/>
      <c r="Q30" s="31"/>
      <c r="R30" s="31"/>
      <c r="S30" s="29">
        <v>-37.110814979784799</v>
      </c>
      <c r="T30" s="33">
        <v>-296.97804925535701</v>
      </c>
      <c r="U30" s="31">
        <v>-9.152941707861828E-2</v>
      </c>
      <c r="V30" s="34" t="s">
        <v>14</v>
      </c>
      <c r="W30" s="35" t="s">
        <v>28</v>
      </c>
    </row>
    <row r="31" spans="1:24" x14ac:dyDescent="0.2">
      <c r="A31" s="29" t="s">
        <v>17</v>
      </c>
      <c r="B31" s="29">
        <v>131.565</v>
      </c>
      <c r="C31" s="31">
        <v>9.3539321250002416E-2</v>
      </c>
      <c r="D31" s="31">
        <v>7.2282333608430401E-3</v>
      </c>
      <c r="E31" s="31">
        <v>0.13965336783505755</v>
      </c>
      <c r="F31" s="31">
        <v>6.3666600717501272E-3</v>
      </c>
      <c r="G31" s="31">
        <v>-5.2009409898134962E-2</v>
      </c>
      <c r="H31" s="29">
        <v>3.5134607881191367E-3</v>
      </c>
      <c r="I31" s="29">
        <v>0.78802136209295393</v>
      </c>
      <c r="J31" s="31">
        <v>5.3234254365441498E-2</v>
      </c>
      <c r="K31" s="31">
        <v>9.5098173005546599E-2</v>
      </c>
      <c r="L31" s="29">
        <v>6.3306533646179108</v>
      </c>
      <c r="M31" s="29">
        <v>0.15531368980388796</v>
      </c>
      <c r="N31" s="29"/>
      <c r="O31" s="29"/>
      <c r="P31" s="32"/>
      <c r="Q31" s="31"/>
      <c r="R31" s="31"/>
      <c r="S31" s="29">
        <v>-36.980131897524899</v>
      </c>
      <c r="T31" s="33">
        <v>-294.23666477728301</v>
      </c>
      <c r="U31" s="31">
        <v>1.6043904029161808</v>
      </c>
      <c r="V31" s="34" t="s">
        <v>14</v>
      </c>
      <c r="W31" s="35" t="s">
        <v>28</v>
      </c>
    </row>
    <row r="32" spans="1:24" x14ac:dyDescent="0.2">
      <c r="A32" s="29" t="s">
        <v>17</v>
      </c>
      <c r="B32" s="29">
        <v>132.33500000000001</v>
      </c>
      <c r="C32" s="31">
        <v>7.2418527991224835E-2</v>
      </c>
      <c r="D32" s="31">
        <v>5.527401079774826E-3</v>
      </c>
      <c r="E32" s="31">
        <v>0.13114537019687234</v>
      </c>
      <c r="F32" s="31">
        <v>6.3666600717501272E-3</v>
      </c>
      <c r="G32" s="31">
        <v>-5.758869523764254E-2</v>
      </c>
      <c r="H32" s="29">
        <v>3.5134607881191367E-3</v>
      </c>
      <c r="I32" s="29">
        <v>0.8725559884491294</v>
      </c>
      <c r="J32" s="31">
        <v>5.3234254365441498E-2</v>
      </c>
      <c r="K32" s="31">
        <v>0.102212647786998</v>
      </c>
      <c r="L32" s="29">
        <v>6.593061324900118</v>
      </c>
      <c r="M32" s="29">
        <v>0.15531368980388796</v>
      </c>
      <c r="N32" s="29"/>
      <c r="O32" s="29"/>
      <c r="P32" s="32"/>
      <c r="Q32" s="31"/>
      <c r="R32" s="31"/>
      <c r="S32" s="29">
        <v>-37.356082503736303</v>
      </c>
      <c r="T32" s="33">
        <v>-297.26586612883398</v>
      </c>
      <c r="U32" s="31">
        <v>1.5827939010564478</v>
      </c>
      <c r="V32" s="34" t="s">
        <v>14</v>
      </c>
      <c r="W32" s="35" t="s">
        <v>28</v>
      </c>
    </row>
    <row r="33" spans="1:23" x14ac:dyDescent="0.2">
      <c r="A33" s="29" t="s">
        <v>17</v>
      </c>
      <c r="B33" s="29">
        <v>133.63499999999999</v>
      </c>
      <c r="C33" s="31">
        <v>8.9163346559395507E-2</v>
      </c>
      <c r="D33" s="31">
        <v>8.1626829559965294E-3</v>
      </c>
      <c r="E33" s="31">
        <v>0.1330193648283462</v>
      </c>
      <c r="F33" s="31">
        <v>6.3666600717501272E-3</v>
      </c>
      <c r="G33" s="31">
        <v>-5.2818077889926762E-2</v>
      </c>
      <c r="H33" s="29">
        <v>3.5134607881191367E-3</v>
      </c>
      <c r="I33" s="29">
        <v>0.80027390742313276</v>
      </c>
      <c r="J33" s="31">
        <v>5.3234254365441498E-2</v>
      </c>
      <c r="K33" s="31">
        <v>9.6115914950997708E-2</v>
      </c>
      <c r="L33" s="29">
        <v>6.4902715207988404</v>
      </c>
      <c r="M33" s="29">
        <v>0.15531368980388796</v>
      </c>
      <c r="N33" s="29"/>
      <c r="O33" s="29"/>
      <c r="P33" s="32"/>
      <c r="Q33" s="31"/>
      <c r="R33" s="31"/>
      <c r="S33" s="29">
        <v>-37.5227507825605</v>
      </c>
      <c r="T33" s="33">
        <v>-298.159713250756</v>
      </c>
      <c r="U33" s="31">
        <v>2.0222930097280027</v>
      </c>
      <c r="V33" s="34" t="s">
        <v>14</v>
      </c>
      <c r="W33" s="35" t="s">
        <v>28</v>
      </c>
    </row>
    <row r="34" spans="1:23" x14ac:dyDescent="0.2">
      <c r="A34" s="29" t="s">
        <v>17</v>
      </c>
      <c r="B34" s="29">
        <v>134.465</v>
      </c>
      <c r="C34" s="31">
        <v>0.10684864581889109</v>
      </c>
      <c r="D34" s="31">
        <v>5.3945466973199258E-3</v>
      </c>
      <c r="E34" s="31">
        <v>0.16107266772635853</v>
      </c>
      <c r="F34" s="31">
        <v>4.771816997302912E-3</v>
      </c>
      <c r="G34" s="31">
        <v>-5.6615752249022933E-2</v>
      </c>
      <c r="H34" s="29">
        <v>4.0807134519624741E-3</v>
      </c>
      <c r="I34" s="29">
        <v>0.8578144280154989</v>
      </c>
      <c r="J34" s="31">
        <v>6.1828991696401096E-2</v>
      </c>
      <c r="K34" s="31">
        <v>0.105741572445795</v>
      </c>
      <c r="L34" s="29">
        <v>6.8410070481497165</v>
      </c>
      <c r="M34" s="29">
        <v>0.12027498767187154</v>
      </c>
      <c r="N34" s="31">
        <v>-0.982694358700686</v>
      </c>
      <c r="O34" s="31">
        <v>0.20904526340805399</v>
      </c>
      <c r="P34" s="32"/>
      <c r="Q34" s="31"/>
      <c r="R34" s="31"/>
      <c r="S34" s="29">
        <v>-37.9617227030419</v>
      </c>
      <c r="T34" s="33">
        <v>-303.05291759155699</v>
      </c>
      <c r="U34" s="31">
        <v>0.64086403277821091</v>
      </c>
      <c r="V34" s="34" t="s">
        <v>14</v>
      </c>
      <c r="W34" s="35" t="s">
        <v>28</v>
      </c>
    </row>
    <row r="35" spans="1:23" x14ac:dyDescent="0.2">
      <c r="A35" s="29" t="s">
        <v>17</v>
      </c>
      <c r="B35" s="29">
        <v>135.19499999999999</v>
      </c>
      <c r="C35" s="31">
        <v>0.1235458727899541</v>
      </c>
      <c r="D35" s="31">
        <v>5.3945466973199258E-3</v>
      </c>
      <c r="E35" s="31">
        <v>0.17313222436921016</v>
      </c>
      <c r="F35" s="31">
        <v>4.771816997302912E-3</v>
      </c>
      <c r="G35" s="31">
        <v>-5.1560058920929741E-2</v>
      </c>
      <c r="H35" s="29">
        <v>4.0807134519624741E-3</v>
      </c>
      <c r="I35" s="29">
        <v>0.78121301395348086</v>
      </c>
      <c r="J35" s="31">
        <v>6.1828991696401096E-2</v>
      </c>
      <c r="K35" s="31">
        <v>9.9628118249299805E-2</v>
      </c>
      <c r="L35" s="29">
        <v>5.0985676182262463</v>
      </c>
      <c r="M35" s="29">
        <v>0.12027498767187154</v>
      </c>
      <c r="N35" s="31">
        <v>-1.3277760550293201</v>
      </c>
      <c r="O35" s="31">
        <v>0.20904526340805399</v>
      </c>
      <c r="P35" s="32"/>
      <c r="Q35" s="31"/>
      <c r="R35" s="31"/>
      <c r="S35" s="29">
        <v>-36.4553099634361</v>
      </c>
      <c r="T35" s="33">
        <v>-290.89606779772203</v>
      </c>
      <c r="U35" s="31">
        <v>0.74641190976677763</v>
      </c>
      <c r="V35" s="34" t="s">
        <v>14</v>
      </c>
      <c r="W35" s="35" t="s">
        <v>28</v>
      </c>
    </row>
    <row r="36" spans="1:23" x14ac:dyDescent="0.2">
      <c r="A36" s="29" t="s">
        <v>17</v>
      </c>
      <c r="B36" s="29">
        <v>136.185</v>
      </c>
      <c r="C36" s="31">
        <v>0.10138046470453688</v>
      </c>
      <c r="D36" s="31">
        <v>5.3945466973199258E-3</v>
      </c>
      <c r="E36" s="31">
        <v>0.15425211731789901</v>
      </c>
      <c r="F36" s="31">
        <v>4.771816997302912E-3</v>
      </c>
      <c r="G36" s="31">
        <v>-5.1231105840932045E-2</v>
      </c>
      <c r="H36" s="29">
        <v>4.0807134519624741E-3</v>
      </c>
      <c r="I36" s="29">
        <v>0.77622887637775817</v>
      </c>
      <c r="J36" s="31">
        <v>6.1828991696401096E-2</v>
      </c>
      <c r="K36" s="31">
        <v>9.9237779597391301E-2</v>
      </c>
      <c r="L36" s="29">
        <v>6.0688376957254153</v>
      </c>
      <c r="M36" s="29">
        <v>0.12027498767187154</v>
      </c>
      <c r="N36" s="31">
        <v>-0.47072366495004597</v>
      </c>
      <c r="O36" s="31">
        <v>0.20904526340805399</v>
      </c>
      <c r="P36" s="32"/>
      <c r="Q36" s="31"/>
      <c r="R36" s="31"/>
      <c r="S36" s="29">
        <v>-37.669670080221998</v>
      </c>
      <c r="T36" s="33">
        <v>-301.92658033684302</v>
      </c>
      <c r="U36" s="31">
        <v>-0.56921969506703363</v>
      </c>
      <c r="V36" s="34" t="s">
        <v>14</v>
      </c>
      <c r="W36" s="35" t="s">
        <v>28</v>
      </c>
    </row>
    <row r="37" spans="1:23" x14ac:dyDescent="0.2">
      <c r="A37" s="29" t="s">
        <v>17</v>
      </c>
      <c r="B37" s="29">
        <v>136.57499999999999</v>
      </c>
      <c r="C37" s="31">
        <v>0.12629891463022958</v>
      </c>
      <c r="D37" s="31">
        <v>5.3945466973199258E-3</v>
      </c>
      <c r="E37" s="31">
        <v>0.17432670648864779</v>
      </c>
      <c r="F37" s="31">
        <v>4.771816997302912E-3</v>
      </c>
      <c r="G37" s="31">
        <v>-5.1565927843832959E-2</v>
      </c>
      <c r="H37" s="29">
        <v>4.0807134519624741E-3</v>
      </c>
      <c r="I37" s="29">
        <v>0.78130193702777206</v>
      </c>
      <c r="J37" s="31">
        <v>6.1828991696401096E-2</v>
      </c>
      <c r="K37" s="31">
        <v>9.9635091118677299E-2</v>
      </c>
      <c r="L37" s="29">
        <v>17.748809385792484</v>
      </c>
      <c r="M37" s="29">
        <v>0.12027498767187154</v>
      </c>
      <c r="N37" s="31"/>
      <c r="O37" s="31"/>
      <c r="P37" s="32"/>
      <c r="Q37" s="31"/>
      <c r="R37" s="31"/>
      <c r="S37" s="29"/>
      <c r="T37" s="29"/>
      <c r="U37" s="31"/>
      <c r="V37" s="34" t="s">
        <v>14</v>
      </c>
      <c r="W37" s="35" t="s">
        <v>28</v>
      </c>
    </row>
    <row r="38" spans="1:23" x14ac:dyDescent="0.2">
      <c r="A38" s="29" t="s">
        <v>17</v>
      </c>
      <c r="B38" s="29">
        <v>136.57499999999999</v>
      </c>
      <c r="C38" s="31">
        <v>0.11187402464130081</v>
      </c>
      <c r="D38" s="31">
        <v>5.3945466973199258E-3</v>
      </c>
      <c r="E38" s="31">
        <v>0.15560533036595992</v>
      </c>
      <c r="F38" s="31">
        <v>4.771816997302912E-3</v>
      </c>
      <c r="G38" s="31">
        <v>-4.1525663578068084E-2</v>
      </c>
      <c r="H38" s="29">
        <v>4.0807134519624741E-3</v>
      </c>
      <c r="I38" s="29">
        <v>0.62917672087981946</v>
      </c>
      <c r="J38" s="31">
        <v>6.1828991696401096E-2</v>
      </c>
      <c r="K38" s="31">
        <v>8.8212570958817807E-2</v>
      </c>
      <c r="L38" s="29">
        <v>6.0427930933040219</v>
      </c>
      <c r="M38" s="29">
        <v>0.12027498767187154</v>
      </c>
      <c r="N38" s="31">
        <v>-0.14099225867514301</v>
      </c>
      <c r="O38" s="31">
        <v>0.20904526340805399</v>
      </c>
      <c r="P38" s="32"/>
      <c r="Q38" s="31"/>
      <c r="R38" s="31"/>
      <c r="S38" s="29">
        <v>-37.611889446964597</v>
      </c>
      <c r="T38" s="33">
        <v>-300.609297759995</v>
      </c>
      <c r="U38" s="31">
        <v>0.28581781572177078</v>
      </c>
      <c r="V38" s="34" t="s">
        <v>14</v>
      </c>
      <c r="W38" s="35" t="s">
        <v>28</v>
      </c>
    </row>
    <row r="39" spans="1:23" x14ac:dyDescent="0.2">
      <c r="A39" s="29" t="s">
        <v>17</v>
      </c>
      <c r="B39" s="29">
        <v>136.91499999999999</v>
      </c>
      <c r="C39" s="31">
        <v>0.12413683534462372</v>
      </c>
      <c r="D39" s="31">
        <v>5.3945466973199258E-3</v>
      </c>
      <c r="E39" s="31">
        <v>0.17067262028724883</v>
      </c>
      <c r="F39" s="31">
        <v>4.771816997302912E-3</v>
      </c>
      <c r="G39" s="31">
        <v>-5.5001832903855963E-2</v>
      </c>
      <c r="H39" s="29">
        <v>4.0807134519624741E-3</v>
      </c>
      <c r="I39" s="29">
        <v>0.83336110460387813</v>
      </c>
      <c r="J39" s="31">
        <v>6.1828991696401096E-2</v>
      </c>
      <c r="K39" s="31">
        <v>0.10376768052172901</v>
      </c>
      <c r="L39" s="29">
        <v>2.8471869198665178</v>
      </c>
      <c r="M39" s="29">
        <v>0.12027498767187154</v>
      </c>
      <c r="N39" s="31">
        <v>-1.22078339917842</v>
      </c>
      <c r="O39" s="31">
        <v>0.20904526340805399</v>
      </c>
      <c r="P39" s="32"/>
      <c r="Q39" s="31"/>
      <c r="R39" s="31"/>
      <c r="S39" s="29">
        <v>-37.6364526911143</v>
      </c>
      <c r="T39" s="33">
        <v>-301.56037448842102</v>
      </c>
      <c r="U39" s="31">
        <v>-0.46875295950661666</v>
      </c>
      <c r="V39" s="34" t="s">
        <v>14</v>
      </c>
      <c r="W39" s="35" t="s">
        <v>28</v>
      </c>
    </row>
    <row r="40" spans="1:23" x14ac:dyDescent="0.2">
      <c r="A40" s="29" t="s">
        <v>17</v>
      </c>
      <c r="B40" s="29">
        <v>137.51499999999999</v>
      </c>
      <c r="C40" s="31">
        <v>0.11505713637816051</v>
      </c>
      <c r="D40" s="31">
        <v>5.3945466973199258E-3</v>
      </c>
      <c r="E40" s="31">
        <v>0.15695342992172456</v>
      </c>
      <c r="F40" s="31">
        <v>4.771816997302912E-3</v>
      </c>
      <c r="G40" s="31">
        <v>-5.0840062139734243E-2</v>
      </c>
      <c r="H40" s="29">
        <v>4.0807134519624741E-3</v>
      </c>
      <c r="I40" s="29">
        <v>0.77030397181415511</v>
      </c>
      <c r="J40" s="31">
        <v>6.1828991696401096E-2</v>
      </c>
      <c r="K40" s="31">
        <v>9.8775028747757204E-2</v>
      </c>
      <c r="L40" s="29">
        <v>6.0822065097267952</v>
      </c>
      <c r="M40" s="29">
        <v>0.12027498767187154</v>
      </c>
      <c r="N40" s="31">
        <v>-0.99239435739140203</v>
      </c>
      <c r="O40" s="31">
        <v>0.20904526340805399</v>
      </c>
      <c r="P40" s="32"/>
      <c r="Q40" s="31"/>
      <c r="R40" s="31"/>
      <c r="S40" s="29">
        <v>-37.7362405413812</v>
      </c>
      <c r="T40" s="33">
        <v>-301.45978589674598</v>
      </c>
      <c r="U40" s="31">
        <v>0.43013843430361476</v>
      </c>
      <c r="V40" s="34" t="s">
        <v>14</v>
      </c>
      <c r="W40" s="35" t="s">
        <v>28</v>
      </c>
    </row>
    <row r="41" spans="1:23" x14ac:dyDescent="0.2">
      <c r="A41" s="29" t="s">
        <v>17</v>
      </c>
      <c r="B41" s="29">
        <v>139.08500000000001</v>
      </c>
      <c r="C41" s="31">
        <v>0.12386824967802745</v>
      </c>
      <c r="D41" s="31">
        <v>5.3945466973199258E-3</v>
      </c>
      <c r="E41" s="31">
        <v>0.17230011141666779</v>
      </c>
      <c r="F41" s="31">
        <v>4.771816997302912E-3</v>
      </c>
      <c r="G41" s="31">
        <v>-4.186108465897842E-2</v>
      </c>
      <c r="H41" s="29">
        <v>4.0807134519624741E-3</v>
      </c>
      <c r="I41" s="29">
        <v>0.63425885846937002</v>
      </c>
      <c r="J41" s="31">
        <v>6.1828991696401096E-2</v>
      </c>
      <c r="K41" s="31">
        <v>8.8575771008003804E-2</v>
      </c>
      <c r="L41" s="29">
        <v>5.0920843872641619</v>
      </c>
      <c r="M41" s="29">
        <v>0.12027498767187154</v>
      </c>
      <c r="N41" s="31">
        <v>-2.0024850217533801</v>
      </c>
      <c r="O41" s="31">
        <v>0.20904526340805399</v>
      </c>
      <c r="P41" s="32"/>
      <c r="Q41" s="31"/>
      <c r="R41" s="31"/>
      <c r="S41" s="29">
        <v>-36.391023559898798</v>
      </c>
      <c r="T41" s="33">
        <v>-290.222603226795</v>
      </c>
      <c r="U41" s="31">
        <v>0.90558525239538312</v>
      </c>
      <c r="V41" s="34" t="s">
        <v>14</v>
      </c>
      <c r="W41" s="35" t="s">
        <v>28</v>
      </c>
    </row>
    <row r="42" spans="1:23" x14ac:dyDescent="0.2">
      <c r="A42" s="29" t="s">
        <v>17</v>
      </c>
      <c r="B42" s="29">
        <v>139.30500000000001</v>
      </c>
      <c r="C42" s="31">
        <v>0.14884989328600717</v>
      </c>
      <c r="D42" s="31">
        <v>5.3945466973199258E-3</v>
      </c>
      <c r="E42" s="31">
        <v>0.19460031695062163</v>
      </c>
      <c r="F42" s="31">
        <v>4.771816997302912E-3</v>
      </c>
      <c r="G42" s="31">
        <v>-4.2805378696941787E-2</v>
      </c>
      <c r="H42" s="29">
        <v>4.0807134519624741E-3</v>
      </c>
      <c r="I42" s="29">
        <v>0.64856634389305734</v>
      </c>
      <c r="J42" s="31">
        <v>6.1828991696401096E-2</v>
      </c>
      <c r="K42" s="31">
        <v>8.9605843774285807E-2</v>
      </c>
      <c r="L42" s="29">
        <v>4.5991930041564544</v>
      </c>
      <c r="M42" s="29">
        <v>0.12027498767187154</v>
      </c>
      <c r="N42" s="31">
        <v>-0.81599603573689905</v>
      </c>
      <c r="O42" s="31">
        <v>0.20904526340805399</v>
      </c>
      <c r="P42" s="32"/>
      <c r="Q42" s="31"/>
      <c r="R42" s="31"/>
      <c r="S42" s="29">
        <v>-36.4687429432797</v>
      </c>
      <c r="T42" s="33">
        <v>-290.01663611050901</v>
      </c>
      <c r="U42" s="31">
        <v>1.7333074357285909</v>
      </c>
      <c r="V42" s="34" t="s">
        <v>14</v>
      </c>
      <c r="W42" s="35" t="s">
        <v>28</v>
      </c>
    </row>
    <row r="43" spans="1:23" x14ac:dyDescent="0.2">
      <c r="A43" s="29" t="s">
        <v>17</v>
      </c>
      <c r="B43" s="29">
        <v>139.63499999999999</v>
      </c>
      <c r="C43" s="31">
        <v>0.14518878926006451</v>
      </c>
      <c r="D43" s="31">
        <v>5.3945466973199258E-3</v>
      </c>
      <c r="E43" s="31">
        <v>0.18277504273078726</v>
      </c>
      <c r="F43" s="31">
        <v>4.771816997302912E-3</v>
      </c>
      <c r="G43" s="31">
        <v>-4.4093881194195994E-2</v>
      </c>
      <c r="H43" s="29">
        <v>4.0807134519624741E-3</v>
      </c>
      <c r="I43" s="29">
        <v>0.66808910900296947</v>
      </c>
      <c r="J43" s="31">
        <v>6.1828991696401096E-2</v>
      </c>
      <c r="K43" s="31">
        <v>9.1028867892979204E-2</v>
      </c>
      <c r="L43" s="29">
        <v>5.477392289961136</v>
      </c>
      <c r="M43" s="29">
        <v>0.12027498767187154</v>
      </c>
      <c r="N43" s="31">
        <v>-0.78124922508005001</v>
      </c>
      <c r="O43" s="31">
        <v>0.20904526340805399</v>
      </c>
      <c r="P43" s="32"/>
      <c r="Q43" s="31"/>
      <c r="R43" s="31"/>
      <c r="S43" s="29">
        <v>-36.129080452948202</v>
      </c>
      <c r="T43" s="33">
        <v>-288.83448066168398</v>
      </c>
      <c r="U43" s="31">
        <v>0.1981629619016303</v>
      </c>
      <c r="V43" s="34" t="s">
        <v>14</v>
      </c>
      <c r="W43" s="35" t="s">
        <v>28</v>
      </c>
    </row>
    <row r="44" spans="1:23" x14ac:dyDescent="0.2">
      <c r="A44" s="29" t="s">
        <v>17</v>
      </c>
      <c r="B44" s="29">
        <v>139.83500000000001</v>
      </c>
      <c r="C44" s="31">
        <v>0.11652872463918662</v>
      </c>
      <c r="D44" s="31">
        <v>5.3945466973199258E-3</v>
      </c>
      <c r="E44" s="31">
        <v>0.16609233086417596</v>
      </c>
      <c r="F44" s="31">
        <v>4.771816997302912E-3</v>
      </c>
      <c r="G44" s="31">
        <v>-4.7163383638748613E-2</v>
      </c>
      <c r="H44" s="29">
        <v>4.0807134519624741E-3</v>
      </c>
      <c r="I44" s="29">
        <v>0.71459672179922129</v>
      </c>
      <c r="J44" s="31">
        <v>6.1828991696401096E-2</v>
      </c>
      <c r="K44" s="31">
        <v>9.4495020833140098E-2</v>
      </c>
      <c r="L44" s="29">
        <v>4.6568166077904927</v>
      </c>
      <c r="M44" s="29">
        <v>0.12027498767187154</v>
      </c>
      <c r="N44" s="31">
        <v>-1.3205721556482899</v>
      </c>
      <c r="O44" s="31">
        <v>0.20904526340805399</v>
      </c>
      <c r="P44" s="32"/>
      <c r="Q44" s="31"/>
      <c r="R44" s="31"/>
      <c r="S44" s="29">
        <v>-35.786539466935999</v>
      </c>
      <c r="T44" s="33">
        <v>-286.29773217830501</v>
      </c>
      <c r="U44" s="31">
        <v>-5.416442817022471E-3</v>
      </c>
      <c r="V44" s="34" t="s">
        <v>14</v>
      </c>
      <c r="W44" s="35" t="s">
        <v>28</v>
      </c>
    </row>
    <row r="45" spans="1:23" x14ac:dyDescent="0.2">
      <c r="A45" s="29" t="s">
        <v>17</v>
      </c>
      <c r="B45" s="29">
        <v>140.07499999999999</v>
      </c>
      <c r="C45" s="31">
        <v>0.1303469317486261</v>
      </c>
      <c r="D45" s="31">
        <v>5.3945466973199258E-3</v>
      </c>
      <c r="E45" s="31">
        <v>0.17300377473650208</v>
      </c>
      <c r="F45" s="31">
        <v>4.771816997302912E-3</v>
      </c>
      <c r="G45" s="31">
        <v>-4.1469165381280426E-2</v>
      </c>
      <c r="H45" s="29">
        <v>4.0807134519624741E-3</v>
      </c>
      <c r="I45" s="29">
        <v>0.62832068759515791</v>
      </c>
      <c r="J45" s="31">
        <v>6.1828991696401096E-2</v>
      </c>
      <c r="K45" s="31">
        <v>8.8151534750077698E-2</v>
      </c>
      <c r="L45" s="29">
        <v>5.1007437056471705</v>
      </c>
      <c r="M45" s="29">
        <v>0.12027498767187154</v>
      </c>
      <c r="N45" s="31">
        <v>-0.493272403930267</v>
      </c>
      <c r="O45" s="31">
        <v>0.20904526340805399</v>
      </c>
      <c r="P45" s="32"/>
      <c r="Q45" s="31"/>
      <c r="R45" s="31"/>
      <c r="S45" s="29">
        <v>-36.6078702345172</v>
      </c>
      <c r="T45" s="33">
        <v>-292.433636270465</v>
      </c>
      <c r="U45" s="31">
        <v>0.42932560567260225</v>
      </c>
      <c r="V45" s="34" t="s">
        <v>14</v>
      </c>
      <c r="W45" s="35" t="s">
        <v>28</v>
      </c>
    </row>
    <row r="46" spans="1:23" x14ac:dyDescent="0.2">
      <c r="A46" s="29" t="s">
        <v>17</v>
      </c>
      <c r="B46" s="29">
        <v>140.345</v>
      </c>
      <c r="C46" s="31">
        <v>0.12054987956022778</v>
      </c>
      <c r="D46" s="31">
        <v>5.3945466973199258E-3</v>
      </c>
      <c r="E46" s="31">
        <v>0.16206662872675359</v>
      </c>
      <c r="F46" s="31">
        <v>4.771816997302912E-3</v>
      </c>
      <c r="G46" s="31">
        <v>-3.9871266154789531E-2</v>
      </c>
      <c r="H46" s="29">
        <v>4.0807134519624741E-3</v>
      </c>
      <c r="I46" s="29">
        <v>0.6041100932543868</v>
      </c>
      <c r="J46" s="31">
        <v>6.1828991696401096E-2</v>
      </c>
      <c r="K46" s="31">
        <v>8.64425489091563E-2</v>
      </c>
      <c r="L46" s="29">
        <v>6.1989460265912122</v>
      </c>
      <c r="M46" s="29">
        <v>0.12027498767187154</v>
      </c>
      <c r="N46" s="31">
        <v>-1.80087997983491</v>
      </c>
      <c r="O46" s="31">
        <v>0.20904526340805399</v>
      </c>
      <c r="P46" s="32"/>
      <c r="Q46" s="31"/>
      <c r="R46" s="31"/>
      <c r="S46" s="29">
        <v>-38.135391942448699</v>
      </c>
      <c r="T46" s="33">
        <v>-304.90662163813403</v>
      </c>
      <c r="U46" s="31">
        <v>0.17651390145556434</v>
      </c>
      <c r="V46" s="34" t="s">
        <v>14</v>
      </c>
      <c r="W46" s="35" t="s">
        <v>28</v>
      </c>
    </row>
    <row r="47" spans="1:23" x14ac:dyDescent="0.2">
      <c r="A47" s="29" t="s">
        <v>17</v>
      </c>
      <c r="B47" s="29">
        <v>140.535</v>
      </c>
      <c r="C47" s="31">
        <v>0.12327991476679401</v>
      </c>
      <c r="D47" s="31">
        <v>5.3945466973199258E-3</v>
      </c>
      <c r="E47" s="31">
        <v>0.16252107017833417</v>
      </c>
      <c r="F47" s="31">
        <v>4.771816997302912E-3</v>
      </c>
      <c r="G47" s="31">
        <v>-3.4678408894261992E-2</v>
      </c>
      <c r="H47" s="29">
        <v>4.0807134519624741E-3</v>
      </c>
      <c r="I47" s="29">
        <v>0.52543043779184839</v>
      </c>
      <c r="J47" s="31">
        <v>6.1828991696401096E-2</v>
      </c>
      <c r="K47" s="31">
        <v>8.1139359522829399E-2</v>
      </c>
      <c r="L47" s="29">
        <v>5.58873951453287</v>
      </c>
      <c r="M47" s="29">
        <v>0.12027498767187154</v>
      </c>
      <c r="N47" s="31">
        <v>-1.01219344898751</v>
      </c>
      <c r="O47" s="31">
        <v>0.20904526340805399</v>
      </c>
      <c r="P47" s="32"/>
      <c r="Q47" s="31"/>
      <c r="R47" s="31"/>
      <c r="S47" s="29">
        <v>-37.226746805883899</v>
      </c>
      <c r="T47" s="33">
        <v>-297.01472813130903</v>
      </c>
      <c r="U47" s="31">
        <v>0.79924631576216143</v>
      </c>
      <c r="V47" s="34" t="s">
        <v>14</v>
      </c>
      <c r="W47" s="35" t="s">
        <v>28</v>
      </c>
    </row>
    <row r="48" spans="1:23" x14ac:dyDescent="0.2">
      <c r="A48" s="29" t="s">
        <v>17</v>
      </c>
      <c r="B48" s="29">
        <v>140.58500000000001</v>
      </c>
      <c r="C48" s="31">
        <v>0.10313760865998667</v>
      </c>
      <c r="D48" s="31">
        <v>5.3945466973199258E-3</v>
      </c>
      <c r="E48" s="31">
        <v>0.15553469975171375</v>
      </c>
      <c r="F48" s="31">
        <v>4.771816997302912E-3</v>
      </c>
      <c r="G48" s="31">
        <v>-4.4618050331179937E-2</v>
      </c>
      <c r="H48" s="29">
        <v>4.0807134519624741E-3</v>
      </c>
      <c r="I48" s="29">
        <v>0.67603106562393844</v>
      </c>
      <c r="J48" s="31">
        <v>6.1828991696401096E-2</v>
      </c>
      <c r="K48" s="31">
        <v>9.1613340901202905E-2</v>
      </c>
      <c r="L48" s="29"/>
      <c r="M48" s="29">
        <v>0.12027498767187154</v>
      </c>
      <c r="N48" s="29"/>
      <c r="O48" s="29"/>
      <c r="P48" s="32"/>
      <c r="Q48" s="31"/>
      <c r="R48" s="31"/>
      <c r="S48" s="29">
        <v>-38.156500910774398</v>
      </c>
      <c r="T48" s="33">
        <v>-303.67752484652698</v>
      </c>
      <c r="U48" s="31">
        <v>1.574482439668202</v>
      </c>
      <c r="V48" s="34" t="s">
        <v>14</v>
      </c>
      <c r="W48" s="35" t="s">
        <v>28</v>
      </c>
    </row>
    <row r="49" spans="1:23" x14ac:dyDescent="0.2">
      <c r="A49" s="29" t="s">
        <v>17</v>
      </c>
      <c r="B49" s="29">
        <v>140.82499999999999</v>
      </c>
      <c r="C49" s="31">
        <v>0.10180104871571061</v>
      </c>
      <c r="D49" s="31">
        <v>5.3945466973199258E-3</v>
      </c>
      <c r="E49" s="31">
        <v>0.14244777439542666</v>
      </c>
      <c r="F49" s="31">
        <v>4.771816997302912E-3</v>
      </c>
      <c r="G49" s="31">
        <v>-4.0140257033693949E-2</v>
      </c>
      <c r="H49" s="29">
        <v>4.0807134519624741E-3</v>
      </c>
      <c r="I49" s="29">
        <v>0.60818571263172649</v>
      </c>
      <c r="J49" s="31">
        <v>6.1828991696401096E-2</v>
      </c>
      <c r="K49" s="31">
        <v>8.6727866482966404E-2</v>
      </c>
      <c r="L49" s="29">
        <v>6.0915618235177771</v>
      </c>
      <c r="M49" s="29">
        <v>0.12027498767187154</v>
      </c>
      <c r="N49" s="29"/>
      <c r="O49" s="29"/>
      <c r="P49" s="32"/>
      <c r="Q49" s="31"/>
      <c r="R49" s="31"/>
      <c r="S49" s="29">
        <v>-38.485608916943001</v>
      </c>
      <c r="T49" s="33">
        <v>-307.09466300370701</v>
      </c>
      <c r="U49" s="31">
        <v>0.79020833183699324</v>
      </c>
      <c r="V49" s="34" t="s">
        <v>14</v>
      </c>
      <c r="W49" s="35" t="s">
        <v>28</v>
      </c>
    </row>
    <row r="50" spans="1:23" x14ac:dyDescent="0.2">
      <c r="A50" s="29" t="s">
        <v>17</v>
      </c>
      <c r="B50" s="29">
        <v>140.95500000000001</v>
      </c>
      <c r="C50" s="31">
        <v>0.10918008853355587</v>
      </c>
      <c r="D50" s="31">
        <v>5.3945466973199258E-3</v>
      </c>
      <c r="E50" s="31">
        <v>0.14588402600757</v>
      </c>
      <c r="F50" s="31">
        <v>4.771816997302912E-3</v>
      </c>
      <c r="G50" s="31">
        <v>-3.5941912661874298E-2</v>
      </c>
      <c r="H50" s="29">
        <v>4.0807134519624741E-3</v>
      </c>
      <c r="I50" s="29">
        <v>0.54457443427082264</v>
      </c>
      <c r="J50" s="31">
        <v>6.1828991696401096E-2</v>
      </c>
      <c r="K50" s="31">
        <v>8.2391973873718494E-2</v>
      </c>
      <c r="L50" s="29">
        <v>5.6321941375601092</v>
      </c>
      <c r="M50" s="29">
        <v>0.12027498767187154</v>
      </c>
      <c r="N50" s="29"/>
      <c r="O50" s="29"/>
      <c r="P50" s="32"/>
      <c r="Q50" s="31"/>
      <c r="R50" s="31"/>
      <c r="S50" s="29">
        <v>-38.325372657379901</v>
      </c>
      <c r="T50" s="33">
        <v>-305.76880956677502</v>
      </c>
      <c r="U50" s="31">
        <v>0.83417169226419219</v>
      </c>
      <c r="V50" s="34" t="s">
        <v>14</v>
      </c>
      <c r="W50" s="35" t="s">
        <v>28</v>
      </c>
    </row>
    <row r="51" spans="1:23" x14ac:dyDescent="0.2">
      <c r="A51" s="29" t="s">
        <v>17</v>
      </c>
      <c r="B51" s="29">
        <v>141.36500000000001</v>
      </c>
      <c r="C51" s="31">
        <v>0.12509751971268024</v>
      </c>
      <c r="D51" s="31">
        <v>5.3945466973199258E-3</v>
      </c>
      <c r="E51" s="31">
        <v>0.17007121191725538</v>
      </c>
      <c r="F51" s="31">
        <v>4.771816997302912E-3</v>
      </c>
      <c r="G51" s="31">
        <v>-4.3723045330734678E-2</v>
      </c>
      <c r="H51" s="29">
        <v>4.0807134519624741E-3</v>
      </c>
      <c r="I51" s="29">
        <v>0.66247038379901013</v>
      </c>
      <c r="J51" s="31">
        <v>6.1828991696401096E-2</v>
      </c>
      <c r="K51" s="31">
        <v>9.0617295856264213E-2</v>
      </c>
      <c r="L51" s="29">
        <v>5.166183549926151</v>
      </c>
      <c r="M51" s="29">
        <v>0.12027498767187154</v>
      </c>
      <c r="N51" s="29"/>
      <c r="O51" s="29"/>
      <c r="P51" s="32"/>
      <c r="Q51" s="31"/>
      <c r="R51" s="31"/>
      <c r="S51" s="29">
        <v>-37.146755349242198</v>
      </c>
      <c r="T51" s="33">
        <v>-297.02223597380998</v>
      </c>
      <c r="U51" s="31">
        <v>0.15180682012760371</v>
      </c>
      <c r="V51" s="34" t="s">
        <v>14</v>
      </c>
      <c r="W51" s="35" t="s">
        <v>28</v>
      </c>
    </row>
    <row r="52" spans="1:23" x14ac:dyDescent="0.2">
      <c r="A52" s="29" t="s">
        <v>17</v>
      </c>
      <c r="B52" s="29">
        <v>141.625</v>
      </c>
      <c r="C52" s="31">
        <v>0.1046744907664543</v>
      </c>
      <c r="D52" s="31">
        <v>5.3945466973199258E-3</v>
      </c>
      <c r="E52" s="31">
        <v>0.15434371186762164</v>
      </c>
      <c r="F52" s="31">
        <v>4.771816997302912E-3</v>
      </c>
      <c r="G52" s="31">
        <v>-5.7811588269562897E-2</v>
      </c>
      <c r="H52" s="29">
        <v>4.0807134519624741E-3</v>
      </c>
      <c r="I52" s="29">
        <v>0.87593315559943774</v>
      </c>
      <c r="J52" s="31">
        <v>6.1828991696401096E-2</v>
      </c>
      <c r="K52" s="31">
        <v>0.10721666449287401</v>
      </c>
      <c r="L52" s="29">
        <v>5.5370946039914326</v>
      </c>
      <c r="M52" s="29">
        <v>0.12027498767187154</v>
      </c>
      <c r="N52" s="29"/>
      <c r="O52" s="29"/>
      <c r="P52" s="32"/>
      <c r="Q52" s="31"/>
      <c r="R52" s="31"/>
      <c r="S52" s="29">
        <v>-37.623445573616102</v>
      </c>
      <c r="T52" s="33">
        <v>-300.14221734446801</v>
      </c>
      <c r="U52" s="31">
        <v>0.845347244460811</v>
      </c>
      <c r="V52" s="34" t="s">
        <v>14</v>
      </c>
      <c r="W52" s="35" t="s">
        <v>28</v>
      </c>
    </row>
    <row r="53" spans="1:23" x14ac:dyDescent="0.2">
      <c r="A53" s="29" t="s">
        <v>17</v>
      </c>
      <c r="B53" s="29">
        <v>141.86500000000001</v>
      </c>
      <c r="C53" s="31">
        <v>7.7298753573762369E-2</v>
      </c>
      <c r="D53" s="31">
        <v>5.3945466973199258E-3</v>
      </c>
      <c r="E53" s="31">
        <v>0.15124758971651886</v>
      </c>
      <c r="F53" s="31">
        <v>4.771816997302912E-3</v>
      </c>
      <c r="G53" s="31">
        <v>-7.5468186828464567E-2</v>
      </c>
      <c r="H53" s="29">
        <v>4.0807134519624741E-3</v>
      </c>
      <c r="I53" s="29">
        <v>1.1434573761888571</v>
      </c>
      <c r="J53" s="31">
        <v>6.1828991696401096E-2</v>
      </c>
      <c r="K53" s="31">
        <v>0.12999143020138201</v>
      </c>
      <c r="L53" s="29">
        <v>5.9068403098674338</v>
      </c>
      <c r="M53" s="29">
        <v>0.12027498767187154</v>
      </c>
      <c r="N53" s="29"/>
      <c r="O53" s="29"/>
      <c r="P53" s="32"/>
      <c r="Q53" s="31"/>
      <c r="R53" s="31"/>
      <c r="S53" s="29">
        <v>-37.201646950836697</v>
      </c>
      <c r="T53" s="33">
        <v>-296.22993634334</v>
      </c>
      <c r="U53" s="31">
        <v>1.3832392633535733</v>
      </c>
      <c r="V53" s="34" t="s">
        <v>15</v>
      </c>
      <c r="W53" s="35" t="s">
        <v>28</v>
      </c>
    </row>
    <row r="54" spans="1:23" x14ac:dyDescent="0.2">
      <c r="A54" s="29" t="s">
        <v>17</v>
      </c>
      <c r="B54" s="29">
        <v>142.22499999999999</v>
      </c>
      <c r="C54" s="31">
        <v>9.133815133433032E-2</v>
      </c>
      <c r="D54" s="31">
        <v>5.3945466973199258E-3</v>
      </c>
      <c r="E54" s="31">
        <v>0.15296814703957828</v>
      </c>
      <c r="F54" s="31">
        <v>4.771816997302912E-3</v>
      </c>
      <c r="G54" s="31">
        <v>-5.3960424733379142E-2</v>
      </c>
      <c r="H54" s="29">
        <v>4.0807134519624741E-3</v>
      </c>
      <c r="I54" s="29">
        <v>0.81758219292998691</v>
      </c>
      <c r="J54" s="31">
        <v>6.1828991696401096E-2</v>
      </c>
      <c r="K54" s="31">
        <v>0.10250478347938601</v>
      </c>
      <c r="L54" s="29">
        <v>6.3346824957433157</v>
      </c>
      <c r="M54" s="29">
        <v>0.12027498767187154</v>
      </c>
      <c r="N54" s="29"/>
      <c r="O54" s="29"/>
      <c r="P54" s="32"/>
      <c r="Q54" s="31"/>
      <c r="R54" s="31"/>
      <c r="S54" s="29">
        <v>-37.502106243775401</v>
      </c>
      <c r="T54" s="33">
        <v>-298.85292099086502</v>
      </c>
      <c r="U54" s="31">
        <v>1.1639289593381932</v>
      </c>
      <c r="V54" s="34" t="s">
        <v>15</v>
      </c>
      <c r="W54" s="35" t="s">
        <v>28</v>
      </c>
    </row>
    <row r="55" spans="1:23" x14ac:dyDescent="0.2">
      <c r="A55" s="29" t="s">
        <v>17</v>
      </c>
      <c r="B55" s="29">
        <v>142.47499999999999</v>
      </c>
      <c r="C55" s="31">
        <v>9.8362681578256783E-2</v>
      </c>
      <c r="D55" s="31">
        <v>5.3945466973199258E-3</v>
      </c>
      <c r="E55" s="31">
        <v>0.15043649753643251</v>
      </c>
      <c r="F55" s="31">
        <v>4.771816997302912E-3</v>
      </c>
      <c r="G55" s="31">
        <v>-5.4984649689115983E-2</v>
      </c>
      <c r="H55" s="29">
        <v>4.0807134519624741E-3</v>
      </c>
      <c r="I55" s="29">
        <v>0.83310075286539353</v>
      </c>
      <c r="J55" s="31">
        <v>6.1828991696401096E-2</v>
      </c>
      <c r="K55" s="31">
        <v>0.103746772761578</v>
      </c>
      <c r="L55" s="29">
        <v>6.1816726223633545</v>
      </c>
      <c r="M55" s="29">
        <v>0.12027498767187154</v>
      </c>
      <c r="N55" s="29"/>
      <c r="O55" s="29"/>
      <c r="P55" s="32"/>
      <c r="Q55" s="31"/>
      <c r="R55" s="31"/>
      <c r="S55" s="29">
        <v>-37.514625380981201</v>
      </c>
      <c r="T55" s="33">
        <v>-298.76799727895099</v>
      </c>
      <c r="U55" s="31">
        <v>1.3490057688986212</v>
      </c>
      <c r="V55" s="34" t="s">
        <v>15</v>
      </c>
      <c r="W55" s="35" t="s">
        <v>28</v>
      </c>
    </row>
    <row r="56" spans="1:23" x14ac:dyDescent="0.2">
      <c r="A56" s="29" t="s">
        <v>17</v>
      </c>
      <c r="B56" s="29">
        <v>143.02500000000001</v>
      </c>
      <c r="C56" s="31">
        <v>9.1335058152619553E-2</v>
      </c>
      <c r="D56" s="31">
        <v>5.3945466973199258E-3</v>
      </c>
      <c r="E56" s="31">
        <v>0.13871276822641221</v>
      </c>
      <c r="F56" s="31">
        <v>4.771816997302912E-3</v>
      </c>
      <c r="G56" s="31">
        <v>-5.1034597877697152E-2</v>
      </c>
      <c r="H56" s="29">
        <v>4.0807134519624741E-3</v>
      </c>
      <c r="I56" s="29">
        <v>0.77325148299541135</v>
      </c>
      <c r="J56" s="31">
        <v>6.1828991696401096E-2</v>
      </c>
      <c r="K56" s="31">
        <v>9.90050643843014E-2</v>
      </c>
      <c r="L56" s="29">
        <v>5.5271329174342299</v>
      </c>
      <c r="M56" s="29">
        <v>0.12027498767187154</v>
      </c>
      <c r="N56" s="29"/>
      <c r="O56" s="29"/>
      <c r="P56" s="32"/>
      <c r="Q56" s="31"/>
      <c r="R56" s="31"/>
      <c r="S56" s="29">
        <v>-37.092481055075297</v>
      </c>
      <c r="T56" s="33">
        <v>-294.07004517364601</v>
      </c>
      <c r="U56" s="31">
        <v>2.6698032669563645</v>
      </c>
      <c r="V56" s="34" t="s">
        <v>15</v>
      </c>
      <c r="W56" s="35" t="s">
        <v>28</v>
      </c>
    </row>
    <row r="57" spans="1:23" x14ac:dyDescent="0.2">
      <c r="A57" s="29" t="s">
        <v>17</v>
      </c>
      <c r="B57" s="29">
        <v>143.61500000000001</v>
      </c>
      <c r="C57" s="31">
        <v>3.4573891114053623E-2</v>
      </c>
      <c r="D57" s="31">
        <v>5.3945466973199258E-3</v>
      </c>
      <c r="E57" s="31">
        <v>0.1728535111911178</v>
      </c>
      <c r="F57" s="31">
        <v>4.771816997302912E-3</v>
      </c>
      <c r="G57" s="31">
        <v>-0.15174747533952537</v>
      </c>
      <c r="H57" s="29">
        <v>4.0807134519624741E-3</v>
      </c>
      <c r="I57" s="29">
        <v>2.2992041718109903</v>
      </c>
      <c r="J57" s="31">
        <v>6.1828991696401096E-2</v>
      </c>
      <c r="K57" s="31">
        <v>0.23808868610440997</v>
      </c>
      <c r="L57" s="29">
        <v>6.5352905714244347</v>
      </c>
      <c r="M57" s="29">
        <v>0.12027498767187154</v>
      </c>
      <c r="N57" s="29"/>
      <c r="O57" s="29"/>
      <c r="P57" s="32"/>
      <c r="Q57" s="31"/>
      <c r="R57" s="31"/>
      <c r="S57" s="29">
        <v>-35.839729885712103</v>
      </c>
      <c r="T57" s="33">
        <v>-282.10042570214301</v>
      </c>
      <c r="U57" s="31">
        <v>4.61741338355381</v>
      </c>
      <c r="V57" s="34" t="s">
        <v>15</v>
      </c>
      <c r="W57" s="35" t="s">
        <v>28</v>
      </c>
    </row>
    <row r="58" spans="1:23" x14ac:dyDescent="0.2">
      <c r="A58" s="29" t="s">
        <v>17</v>
      </c>
      <c r="B58" s="29">
        <v>143.745</v>
      </c>
      <c r="C58" s="31">
        <v>0.12500030062412293</v>
      </c>
      <c r="D58" s="31">
        <v>5.3945466973199258E-3</v>
      </c>
      <c r="E58" s="31">
        <v>0.18423087260011073</v>
      </c>
      <c r="F58" s="31">
        <v>4.771816997302912E-3</v>
      </c>
      <c r="G58" s="31">
        <v>-6.2134254247392384E-2</v>
      </c>
      <c r="H58" s="29">
        <v>4.0807134519624741E-3</v>
      </c>
      <c r="I58" s="29">
        <v>0.94142809465746025</v>
      </c>
      <c r="J58" s="31">
        <v>6.1828991696401096E-2</v>
      </c>
      <c r="K58" s="31">
        <v>0.112630780820775</v>
      </c>
      <c r="L58" s="29">
        <v>5.3007028687219737</v>
      </c>
      <c r="M58" s="29">
        <v>0.12027498767187154</v>
      </c>
      <c r="N58" s="29"/>
      <c r="O58" s="29"/>
      <c r="P58" s="32"/>
      <c r="Q58" s="31"/>
      <c r="R58" s="31"/>
      <c r="S58" s="29">
        <v>-37.627712204834197</v>
      </c>
      <c r="T58" s="33">
        <v>-300.82686914595803</v>
      </c>
      <c r="U58" s="31">
        <v>0.19482849271554414</v>
      </c>
      <c r="V58" s="34" t="s">
        <v>15</v>
      </c>
      <c r="W58" s="35" t="s">
        <v>28</v>
      </c>
    </row>
    <row r="59" spans="1:23" x14ac:dyDescent="0.2">
      <c r="A59" s="29" t="s">
        <v>17</v>
      </c>
      <c r="B59" s="29">
        <v>143.79499999999999</v>
      </c>
      <c r="C59" s="31">
        <v>8.9192132987525596E-2</v>
      </c>
      <c r="D59" s="31">
        <v>5.1815400692808026E-3</v>
      </c>
      <c r="E59" s="31">
        <v>0.17399061055978216</v>
      </c>
      <c r="F59" s="31">
        <v>5.5387577829557437E-3</v>
      </c>
      <c r="G59" s="31">
        <v>-8.4286599349003843E-2</v>
      </c>
      <c r="H59" s="29">
        <v>3.91664196483854E-3</v>
      </c>
      <c r="I59" s="29">
        <v>1.2770696871061187</v>
      </c>
      <c r="J59" s="31">
        <v>5.93430600733112E-2</v>
      </c>
      <c r="K59" s="31">
        <v>0.14082140688161701</v>
      </c>
      <c r="L59" s="29">
        <v>5.9855188647273128</v>
      </c>
      <c r="M59" s="29">
        <v>0.17940999860929752</v>
      </c>
      <c r="N59" s="29"/>
      <c r="O59" s="29"/>
      <c r="P59" s="32"/>
      <c r="Q59" s="31"/>
      <c r="R59" s="31"/>
      <c r="S59" s="29">
        <v>-37.120327757001199</v>
      </c>
      <c r="T59" s="33">
        <v>-294.976573017362</v>
      </c>
      <c r="U59" s="31">
        <v>1.9860490386475931</v>
      </c>
      <c r="V59" s="34" t="s">
        <v>15</v>
      </c>
      <c r="W59" s="35" t="s">
        <v>28</v>
      </c>
    </row>
    <row r="60" spans="1:23" x14ac:dyDescent="0.2">
      <c r="A60" s="29" t="s">
        <v>17</v>
      </c>
      <c r="B60" s="29">
        <v>144.285</v>
      </c>
      <c r="C60" s="31">
        <v>0.11441774477183309</v>
      </c>
      <c r="D60" s="31">
        <v>5.3945466973199258E-3</v>
      </c>
      <c r="E60" s="31">
        <v>0.17436252505054206</v>
      </c>
      <c r="F60" s="31">
        <v>4.771816997302912E-3</v>
      </c>
      <c r="G60" s="31">
        <v>-6.8870019528488591E-2</v>
      </c>
      <c r="H60" s="29">
        <v>4.0807134519624741E-3</v>
      </c>
      <c r="I60" s="29">
        <v>1.0434851443710393</v>
      </c>
      <c r="J60" s="31">
        <v>6.1828991696401096E-2</v>
      </c>
      <c r="K60" s="31">
        <v>0.121290711430942</v>
      </c>
      <c r="L60" s="29">
        <v>6.1516464041944108</v>
      </c>
      <c r="M60" s="29">
        <v>0.12027498767187154</v>
      </c>
      <c r="N60" s="29"/>
      <c r="O60" s="29"/>
      <c r="P60" s="32"/>
      <c r="Q60" s="31"/>
      <c r="R60" s="31"/>
      <c r="S60" s="29">
        <v>-37.449140663289398</v>
      </c>
      <c r="T60" s="33">
        <v>-297.90524956927999</v>
      </c>
      <c r="U60" s="31">
        <v>1.6878757370351991</v>
      </c>
      <c r="V60" s="34" t="s">
        <v>15</v>
      </c>
      <c r="W60" s="35" t="s">
        <v>28</v>
      </c>
    </row>
    <row r="61" spans="1:23" x14ac:dyDescent="0.2">
      <c r="A61" s="29" t="s">
        <v>17</v>
      </c>
      <c r="B61" s="29">
        <v>144.41499999999999</v>
      </c>
      <c r="C61" s="31">
        <v>9.2287597451390369E-2</v>
      </c>
      <c r="D61" s="31">
        <v>5.3945466973199258E-3</v>
      </c>
      <c r="E61" s="31">
        <v>0.18337310712102095</v>
      </c>
      <c r="F61" s="31">
        <v>4.771816997302912E-3</v>
      </c>
      <c r="G61" s="31">
        <v>-9.4346403579304017E-2</v>
      </c>
      <c r="H61" s="29">
        <v>4.0807134519624741E-3</v>
      </c>
      <c r="I61" s="29">
        <v>1.4294909633227881</v>
      </c>
      <c r="J61" s="31">
        <v>6.1828991696401096E-2</v>
      </c>
      <c r="K61" s="31">
        <v>0.15574745056150602</v>
      </c>
      <c r="L61" s="29">
        <v>5.7272712499747414</v>
      </c>
      <c r="M61" s="29">
        <v>0.12027498767187154</v>
      </c>
      <c r="N61" s="29"/>
      <c r="O61" s="29"/>
      <c r="P61" s="32"/>
      <c r="Q61" s="31"/>
      <c r="R61" s="31"/>
      <c r="S61" s="29">
        <v>-37.314319185688703</v>
      </c>
      <c r="T61" s="33">
        <v>-297.18243297583001</v>
      </c>
      <c r="U61" s="31">
        <v>1.332120509679612</v>
      </c>
      <c r="V61" s="34" t="s">
        <v>15</v>
      </c>
      <c r="W61" s="35" t="s">
        <v>28</v>
      </c>
    </row>
    <row r="62" spans="1:23" x14ac:dyDescent="0.2">
      <c r="A62" s="29" t="s">
        <v>17</v>
      </c>
      <c r="B62" s="29">
        <v>144.845</v>
      </c>
      <c r="C62" s="31">
        <v>6.0376432164499505E-2</v>
      </c>
      <c r="D62" s="31">
        <v>5.3945466973199258E-3</v>
      </c>
      <c r="E62" s="31">
        <v>0.16539643261959114</v>
      </c>
      <c r="F62" s="31">
        <v>4.771816997302912E-3</v>
      </c>
      <c r="G62" s="31">
        <v>-0.10716485436335077</v>
      </c>
      <c r="H62" s="29">
        <v>4.0807134519624741E-3</v>
      </c>
      <c r="I62" s="29">
        <v>1.6237099145962235</v>
      </c>
      <c r="J62" s="31">
        <v>6.1828991696401096E-2</v>
      </c>
      <c r="K62" s="31">
        <v>0.173744533962293</v>
      </c>
      <c r="L62" s="29">
        <v>6.1893741229017696</v>
      </c>
      <c r="M62" s="29">
        <v>0.12027498767187154</v>
      </c>
      <c r="N62" s="29"/>
      <c r="O62" s="29"/>
      <c r="P62" s="32"/>
      <c r="Q62" s="31"/>
      <c r="R62" s="31"/>
      <c r="S62" s="29">
        <v>-36.609789231637698</v>
      </c>
      <c r="T62" s="33">
        <v>-289.57404630714001</v>
      </c>
      <c r="U62" s="31">
        <v>3.3042675459615793</v>
      </c>
      <c r="V62" s="34" t="s">
        <v>15</v>
      </c>
      <c r="W62" s="35" t="s">
        <v>28</v>
      </c>
    </row>
    <row r="63" spans="1:23" x14ac:dyDescent="0.2">
      <c r="A63" s="29" t="s">
        <v>17</v>
      </c>
      <c r="B63" s="29">
        <v>145.125</v>
      </c>
      <c r="C63" s="31">
        <v>6.7965386192359034E-2</v>
      </c>
      <c r="D63" s="31">
        <v>5.3945466973199258E-3</v>
      </c>
      <c r="E63" s="31">
        <v>0.17414518740044294</v>
      </c>
      <c r="F63" s="31">
        <v>4.771816997302912E-3</v>
      </c>
      <c r="G63" s="31">
        <v>-0.10871659934219569</v>
      </c>
      <c r="H63" s="29">
        <v>4.0807134519624741E-3</v>
      </c>
      <c r="I63" s="29">
        <v>1.6472212021544799</v>
      </c>
      <c r="J63" s="31">
        <v>6.1828991696401096E-2</v>
      </c>
      <c r="K63" s="31">
        <v>0.17594374414132</v>
      </c>
      <c r="L63" s="29">
        <v>6.0046371820323685</v>
      </c>
      <c r="M63" s="29">
        <v>0.12027498767187154</v>
      </c>
      <c r="N63" s="29"/>
      <c r="O63" s="29"/>
      <c r="P63" s="32"/>
      <c r="Q63" s="31"/>
      <c r="R63" s="31"/>
      <c r="S63" s="29">
        <v>-37.162460402346603</v>
      </c>
      <c r="T63" s="33">
        <v>-294.78166139613</v>
      </c>
      <c r="U63" s="31">
        <v>2.5180218226428224</v>
      </c>
      <c r="V63" s="34" t="s">
        <v>15</v>
      </c>
      <c r="W63" s="35" t="s">
        <v>28</v>
      </c>
    </row>
    <row r="64" spans="1:23" x14ac:dyDescent="0.2">
      <c r="A64" s="29" t="s">
        <v>17</v>
      </c>
      <c r="B64" s="29">
        <v>145.36500000000001</v>
      </c>
      <c r="C64" s="31">
        <v>9.2698309830163694E-2</v>
      </c>
      <c r="D64" s="31">
        <v>5.3945466973199258E-3</v>
      </c>
      <c r="E64" s="31">
        <v>0.18148319458521911</v>
      </c>
      <c r="F64" s="31">
        <v>4.771816997302912E-3</v>
      </c>
      <c r="G64" s="31">
        <v>-8.6431035964062985E-2</v>
      </c>
      <c r="H64" s="29">
        <v>4.0807134519624741E-3</v>
      </c>
      <c r="I64" s="29">
        <v>1.3095611509706511</v>
      </c>
      <c r="J64" s="31">
        <v>6.1828991696401096E-2</v>
      </c>
      <c r="K64" s="31">
        <v>0.144818259537634</v>
      </c>
      <c r="L64" s="29">
        <v>5.8137378193272582</v>
      </c>
      <c r="M64" s="29">
        <v>0.12027498767187154</v>
      </c>
      <c r="N64" s="29"/>
      <c r="O64" s="29"/>
      <c r="P64" s="32"/>
      <c r="Q64" s="31"/>
      <c r="R64" s="31"/>
      <c r="S64" s="29">
        <v>-37.528988852365302</v>
      </c>
      <c r="T64" s="33">
        <v>-297.941101161304</v>
      </c>
      <c r="U64" s="31">
        <v>2.2908096576184107</v>
      </c>
      <c r="V64" s="34" t="s">
        <v>15</v>
      </c>
      <c r="W64" s="35" t="s">
        <v>28</v>
      </c>
    </row>
    <row r="65" spans="1:23" x14ac:dyDescent="0.2">
      <c r="A65" s="29" t="s">
        <v>17</v>
      </c>
      <c r="B65" s="29">
        <v>146.10499999999999</v>
      </c>
      <c r="C65" s="31">
        <v>0.16741293184963091</v>
      </c>
      <c r="D65" s="31">
        <v>5.3945466973199258E-3</v>
      </c>
      <c r="E65" s="31">
        <v>0.20910638941029625</v>
      </c>
      <c r="F65" s="31">
        <v>4.771816997302912E-3</v>
      </c>
      <c r="G65" s="31">
        <v>-4.4908866119741653E-2</v>
      </c>
      <c r="H65" s="29">
        <v>4.0807134519624741E-3</v>
      </c>
      <c r="I65" s="29">
        <v>0.68043736545063105</v>
      </c>
      <c r="J65" s="31">
        <v>6.1828991696401096E-2</v>
      </c>
      <c r="K65" s="31">
        <v>9.1938970503305004E-2</v>
      </c>
      <c r="L65" s="29">
        <v>4.3700796140173637</v>
      </c>
      <c r="M65" s="29">
        <v>0.12027498767187154</v>
      </c>
      <c r="N65" s="29"/>
      <c r="O65" s="29"/>
      <c r="P65" s="32"/>
      <c r="Q65" s="31"/>
      <c r="R65" s="31"/>
      <c r="S65" s="29">
        <v>-38.142108432370499</v>
      </c>
      <c r="T65" s="33">
        <v>-304.218787268396</v>
      </c>
      <c r="U65" s="31">
        <v>0.91808019056799139</v>
      </c>
      <c r="V65" s="34" t="s">
        <v>15</v>
      </c>
      <c r="W65" s="35" t="s">
        <v>28</v>
      </c>
    </row>
    <row r="66" spans="1:23" x14ac:dyDescent="0.2">
      <c r="A66" s="29" t="s">
        <v>17</v>
      </c>
      <c r="B66" s="29">
        <v>147.20500000000001</v>
      </c>
      <c r="C66" s="31">
        <v>0.17400903403008705</v>
      </c>
      <c r="D66" s="31">
        <v>5.3945466973199258E-3</v>
      </c>
      <c r="E66" s="31">
        <v>0.20537725366542858</v>
      </c>
      <c r="F66" s="31">
        <v>4.771816997302912E-3</v>
      </c>
      <c r="G66" s="31">
        <v>-3.6418801484194852E-2</v>
      </c>
      <c r="H66" s="29">
        <v>4.0807134519624741E-3</v>
      </c>
      <c r="I66" s="29">
        <v>0.5518000224878008</v>
      </c>
      <c r="J66" s="31">
        <v>6.1828991696401096E-2</v>
      </c>
      <c r="K66" s="31">
        <v>8.2871327142558904E-2</v>
      </c>
      <c r="L66" s="29">
        <v>4.7808351558678019</v>
      </c>
      <c r="M66" s="29">
        <v>0.12027498767187154</v>
      </c>
      <c r="N66" s="29"/>
      <c r="O66" s="29"/>
      <c r="P66" s="32"/>
      <c r="Q66" s="31"/>
      <c r="R66" s="31"/>
      <c r="S66" s="29">
        <v>-38.392537556598</v>
      </c>
      <c r="T66" s="33">
        <v>-306.53040890374098</v>
      </c>
      <c r="U66" s="31">
        <v>0.60989154904302723</v>
      </c>
      <c r="V66" s="34" t="s">
        <v>15</v>
      </c>
      <c r="W66" s="35" t="s">
        <v>28</v>
      </c>
    </row>
    <row r="67" spans="1:23" x14ac:dyDescent="0.2">
      <c r="A67" s="29" t="s">
        <v>17</v>
      </c>
      <c r="B67" s="29">
        <v>147.505</v>
      </c>
      <c r="C67" s="31">
        <v>0.17918939444916404</v>
      </c>
      <c r="D67" s="31">
        <v>5.3945466973199258E-3</v>
      </c>
      <c r="E67" s="31">
        <v>0.21402031847927994</v>
      </c>
      <c r="F67" s="31">
        <v>4.771816997302912E-3</v>
      </c>
      <c r="G67" s="31">
        <v>-3.8211667851895115E-2</v>
      </c>
      <c r="H67" s="29">
        <v>4.0807134519624741E-3</v>
      </c>
      <c r="I67" s="29">
        <v>0.57896466442265315</v>
      </c>
      <c r="J67" s="31">
        <v>6.1828991696401096E-2</v>
      </c>
      <c r="K67" s="31">
        <v>8.4704338972062101E-2</v>
      </c>
      <c r="L67" s="29">
        <v>4.8699133582450482</v>
      </c>
      <c r="M67" s="29">
        <v>0.12027498767187154</v>
      </c>
      <c r="N67" s="29"/>
      <c r="O67" s="29"/>
      <c r="P67" s="32"/>
      <c r="Q67" s="31"/>
      <c r="R67" s="31"/>
      <c r="S67" s="29">
        <v>-38.681346623235797</v>
      </c>
      <c r="T67" s="33">
        <v>-309.18403175077901</v>
      </c>
      <c r="U67" s="31">
        <v>0.26674123510736081</v>
      </c>
      <c r="V67" s="34" t="s">
        <v>15</v>
      </c>
      <c r="W67" s="35" t="s">
        <v>28</v>
      </c>
    </row>
    <row r="68" spans="1:23" x14ac:dyDescent="0.2">
      <c r="A68" s="29" t="s">
        <v>17</v>
      </c>
      <c r="B68" s="29">
        <v>147.66499999999999</v>
      </c>
      <c r="C68" s="31">
        <v>0.13398787494156572</v>
      </c>
      <c r="D68" s="31">
        <v>5.3945466973199258E-3</v>
      </c>
      <c r="E68" s="31">
        <v>0.17987334873170724</v>
      </c>
      <c r="F68" s="31">
        <v>4.771816997302912E-3</v>
      </c>
      <c r="G68" s="31">
        <v>-5.2817897307821937E-2</v>
      </c>
      <c r="H68" s="29">
        <v>4.0807134519624741E-3</v>
      </c>
      <c r="I68" s="29">
        <v>0.8002711713306353</v>
      </c>
      <c r="J68" s="31">
        <v>6.1828991696401096E-2</v>
      </c>
      <c r="K68" s="31">
        <v>0.101129440277412</v>
      </c>
      <c r="L68" s="29">
        <v>4.9468205597062997</v>
      </c>
      <c r="M68" s="29">
        <v>0.12027498767187154</v>
      </c>
      <c r="N68" s="29"/>
      <c r="O68" s="29"/>
      <c r="P68" s="32"/>
      <c r="Q68" s="31"/>
      <c r="R68" s="31"/>
      <c r="S68" s="29">
        <v>-37.518434368202499</v>
      </c>
      <c r="T68" s="33">
        <v>-298.185387741086</v>
      </c>
      <c r="U68" s="31">
        <v>1.9620872045339866</v>
      </c>
      <c r="V68" s="34" t="s">
        <v>15</v>
      </c>
      <c r="W68" s="35" t="s">
        <v>28</v>
      </c>
    </row>
    <row r="69" spans="1:23" x14ac:dyDescent="0.2">
      <c r="A69" s="29" t="s">
        <v>17</v>
      </c>
      <c r="B69" s="29">
        <v>147.80500000000001</v>
      </c>
      <c r="C69" s="31">
        <v>0.16516868333971146</v>
      </c>
      <c r="D69" s="31">
        <v>5.3945466973199258E-3</v>
      </c>
      <c r="E69" s="31">
        <v>0.20319785966038673</v>
      </c>
      <c r="F69" s="31">
        <v>4.771816997302912E-3</v>
      </c>
      <c r="G69" s="31">
        <v>-3.9695870884592921E-2</v>
      </c>
      <c r="H69" s="29">
        <v>4.0807134519624741E-3</v>
      </c>
      <c r="I69" s="29">
        <v>0.60145258916049871</v>
      </c>
      <c r="J69" s="31">
        <v>6.1828991696401096E-2</v>
      </c>
      <c r="K69" s="31">
        <v>8.6257036723228098E-2</v>
      </c>
      <c r="L69" s="29">
        <v>4.8750814864355618</v>
      </c>
      <c r="M69" s="29">
        <v>0.12027498767187154</v>
      </c>
      <c r="N69" s="29"/>
      <c r="O69" s="29"/>
      <c r="P69" s="32"/>
      <c r="Q69" s="31"/>
      <c r="R69" s="31"/>
      <c r="S69" s="29">
        <v>-38.240735338916402</v>
      </c>
      <c r="T69" s="33">
        <v>-306.02607952105399</v>
      </c>
      <c r="U69" s="31">
        <v>-0.10019680972277456</v>
      </c>
      <c r="V69" s="34" t="s">
        <v>15</v>
      </c>
      <c r="W69" s="35" t="s">
        <v>28</v>
      </c>
    </row>
    <row r="70" spans="1:23" x14ac:dyDescent="0.2">
      <c r="A70" s="29" t="s">
        <v>17</v>
      </c>
      <c r="B70" s="29">
        <v>148.435</v>
      </c>
      <c r="C70" s="31">
        <v>-2.7092498081637828E-3</v>
      </c>
      <c r="D70" s="31">
        <v>5.3945466973199258E-3</v>
      </c>
      <c r="E70" s="31">
        <v>0.17373152733335395</v>
      </c>
      <c r="F70" s="31">
        <v>4.771816997302912E-3</v>
      </c>
      <c r="G70" s="31">
        <v>-0.1765178275701107</v>
      </c>
      <c r="H70" s="29">
        <v>4.0807134519624741E-3</v>
      </c>
      <c r="I70" s="29">
        <v>2.6745125389410709</v>
      </c>
      <c r="J70" s="31">
        <v>6.1828991696401096E-2</v>
      </c>
      <c r="K70" s="31">
        <v>0.27450500436918002</v>
      </c>
      <c r="L70" s="29">
        <v>6.8311523436932475</v>
      </c>
      <c r="M70" s="29">
        <v>0.12027498767187154</v>
      </c>
      <c r="N70" s="29"/>
      <c r="O70" s="29"/>
      <c r="P70" s="32"/>
      <c r="Q70" s="31"/>
      <c r="R70" s="31"/>
      <c r="S70" s="29">
        <v>-35.317035296089898</v>
      </c>
      <c r="T70" s="33">
        <v>-278.56773434959302</v>
      </c>
      <c r="U70" s="31">
        <v>3.9685480191261604</v>
      </c>
      <c r="V70" s="34" t="s">
        <v>15</v>
      </c>
      <c r="W70" s="35" t="s">
        <v>28</v>
      </c>
    </row>
    <row r="71" spans="1:23" x14ac:dyDescent="0.2">
      <c r="A71" s="29" t="s">
        <v>17</v>
      </c>
      <c r="B71" s="29">
        <v>148.435</v>
      </c>
      <c r="C71" s="31">
        <v>-2.749733648677033E-2</v>
      </c>
      <c r="D71" s="31">
        <v>5.1815400692808026E-3</v>
      </c>
      <c r="E71" s="31">
        <v>0.1657009495925621</v>
      </c>
      <c r="F71" s="31">
        <v>5.5387577829557437E-3</v>
      </c>
      <c r="G71" s="31">
        <v>-0.18926649476802559</v>
      </c>
      <c r="H71" s="29">
        <v>3.91664196483854E-3</v>
      </c>
      <c r="I71" s="29">
        <v>2.8676741631519027</v>
      </c>
      <c r="J71" s="31">
        <v>5.93430600733112E-2</v>
      </c>
      <c r="K71" s="31">
        <v>0.29284321716398698</v>
      </c>
      <c r="L71" s="29">
        <v>8.6857949679044477</v>
      </c>
      <c r="M71" s="29">
        <v>0.17940999860929752</v>
      </c>
      <c r="N71" s="29"/>
      <c r="O71" s="29"/>
      <c r="P71" s="32"/>
      <c r="Q71" s="31"/>
      <c r="R71" s="31"/>
      <c r="S71" s="29">
        <v>-34.5927981991398</v>
      </c>
      <c r="T71" s="33">
        <v>-273.80641621373502</v>
      </c>
      <c r="U71" s="31">
        <v>2.9359693793833799</v>
      </c>
      <c r="V71" s="34" t="s">
        <v>15</v>
      </c>
      <c r="W71" s="35" t="s">
        <v>28</v>
      </c>
    </row>
    <row r="72" spans="1:23" x14ac:dyDescent="0.2">
      <c r="A72" s="29" t="s">
        <v>17</v>
      </c>
      <c r="B72" s="29">
        <v>148.64500000000001</v>
      </c>
      <c r="C72" s="31">
        <v>4.492639995357095E-2</v>
      </c>
      <c r="D72" s="31">
        <v>5.3945466973199258E-3</v>
      </c>
      <c r="E72" s="31">
        <v>0.17480729135876949</v>
      </c>
      <c r="F72" s="31">
        <v>4.771816997302912E-3</v>
      </c>
      <c r="G72" s="31">
        <v>-0.1330292725892912</v>
      </c>
      <c r="H72" s="29">
        <v>4.0807134519624741E-3</v>
      </c>
      <c r="I72" s="29">
        <v>2.0155950392316848</v>
      </c>
      <c r="J72" s="31">
        <v>6.1828991696401096E-2</v>
      </c>
      <c r="K72" s="31">
        <v>0.21082945201263401</v>
      </c>
      <c r="L72" s="29">
        <v>7.0921677891473411</v>
      </c>
      <c r="M72" s="29">
        <v>0.12027498767187154</v>
      </c>
      <c r="N72" s="29"/>
      <c r="O72" s="29"/>
      <c r="P72" s="32"/>
      <c r="Q72" s="31"/>
      <c r="R72" s="31"/>
      <c r="S72" s="29">
        <v>-35.721499728891999</v>
      </c>
      <c r="T72" s="33">
        <v>-283.02622922507697</v>
      </c>
      <c r="U72" s="31">
        <v>2.7457686060590163</v>
      </c>
      <c r="V72" s="34" t="s">
        <v>15</v>
      </c>
      <c r="W72" s="35" t="s">
        <v>28</v>
      </c>
    </row>
    <row r="73" spans="1:23" x14ac:dyDescent="0.2">
      <c r="A73" s="29" t="s">
        <v>17</v>
      </c>
      <c r="B73" s="29">
        <v>148.815</v>
      </c>
      <c r="C73" s="31">
        <v>3.8440066857603483E-2</v>
      </c>
      <c r="D73" s="31">
        <v>5.3945466973199258E-3</v>
      </c>
      <c r="E73" s="31">
        <v>0.16414852008361791</v>
      </c>
      <c r="F73" s="31">
        <v>4.771816997302912E-3</v>
      </c>
      <c r="G73" s="31">
        <v>-0.13092567637462693</v>
      </c>
      <c r="H73" s="29">
        <v>4.0807134519624741E-3</v>
      </c>
      <c r="I73" s="29">
        <v>1.983722369312529</v>
      </c>
      <c r="J73" s="31">
        <v>6.1828991696401096E-2</v>
      </c>
      <c r="K73" s="31">
        <v>0.207784428192545</v>
      </c>
      <c r="L73" s="29">
        <v>6.3690981535236002</v>
      </c>
      <c r="M73" s="29">
        <v>0.12027498767187154</v>
      </c>
      <c r="N73" s="29"/>
      <c r="O73" s="29"/>
      <c r="P73" s="32"/>
      <c r="Q73" s="31"/>
      <c r="R73" s="31"/>
      <c r="S73" s="29">
        <v>-36.030626116819299</v>
      </c>
      <c r="T73" s="33">
        <v>-285.35970121834998</v>
      </c>
      <c r="U73" s="31">
        <v>2.8853077162044087</v>
      </c>
      <c r="V73" s="34" t="s">
        <v>15</v>
      </c>
      <c r="W73" s="35" t="s">
        <v>28</v>
      </c>
    </row>
    <row r="74" spans="1:23" x14ac:dyDescent="0.2">
      <c r="A74" s="29" t="s">
        <v>17</v>
      </c>
      <c r="B74" s="29">
        <v>149.41499999999999</v>
      </c>
      <c r="C74" s="31">
        <v>3.1820149286820865E-2</v>
      </c>
      <c r="D74" s="31">
        <v>5.3945466973199258E-3</v>
      </c>
      <c r="E74" s="31">
        <v>0.17047514448353951</v>
      </c>
      <c r="F74" s="31">
        <v>4.771816997302912E-3</v>
      </c>
      <c r="G74" s="31">
        <v>-0.13730769324982184</v>
      </c>
      <c r="H74" s="29">
        <v>4.0807134519624741E-3</v>
      </c>
      <c r="I74" s="29">
        <v>2.0804195946942698</v>
      </c>
      <c r="J74" s="31">
        <v>6.1828991696401096E-2</v>
      </c>
      <c r="K74" s="31">
        <v>0.217035207084179</v>
      </c>
      <c r="L74" s="29">
        <v>6.5112253828443212</v>
      </c>
      <c r="M74" s="29">
        <v>0.12027498767187154</v>
      </c>
      <c r="N74" s="29"/>
      <c r="O74" s="29"/>
      <c r="P74" s="32"/>
      <c r="Q74" s="31"/>
      <c r="R74" s="31"/>
      <c r="S74" s="29">
        <v>-35.793188046602602</v>
      </c>
      <c r="T74" s="33">
        <v>-283.27932542941898</v>
      </c>
      <c r="U74" s="31">
        <v>3.0661789434018374</v>
      </c>
      <c r="V74" s="34" t="s">
        <v>15</v>
      </c>
      <c r="W74" s="35" t="s">
        <v>28</v>
      </c>
    </row>
    <row r="75" spans="1:23" x14ac:dyDescent="0.2">
      <c r="A75" s="29" t="s">
        <v>17</v>
      </c>
      <c r="B75" s="29">
        <v>149.685</v>
      </c>
      <c r="C75" s="31">
        <v>0.12085222466273748</v>
      </c>
      <c r="D75" s="31">
        <v>5.3945466973199258E-3</v>
      </c>
      <c r="E75" s="31">
        <v>0.19413527422851296</v>
      </c>
      <c r="F75" s="31">
        <v>4.771816997302912E-3</v>
      </c>
      <c r="G75" s="31">
        <v>-7.153780660318354E-2</v>
      </c>
      <c r="H75" s="29">
        <v>4.0807134519624741E-3</v>
      </c>
      <c r="I75" s="29">
        <v>1.0839061606542959</v>
      </c>
      <c r="J75" s="31">
        <v>6.1828991696401096E-2</v>
      </c>
      <c r="K75" s="31">
        <v>0.12478521493044401</v>
      </c>
      <c r="L75" s="29">
        <v>4.8502934996081937</v>
      </c>
      <c r="M75" s="29">
        <v>0.12027498767187154</v>
      </c>
      <c r="N75" s="29"/>
      <c r="O75" s="29"/>
      <c r="P75" s="32"/>
      <c r="Q75" s="31"/>
      <c r="R75" s="31"/>
      <c r="S75" s="29">
        <v>-37.3940333876388</v>
      </c>
      <c r="T75" s="33">
        <v>-299.31682872098798</v>
      </c>
      <c r="U75" s="31">
        <v>-0.16456161987758833</v>
      </c>
      <c r="V75" s="34" t="s">
        <v>15</v>
      </c>
      <c r="W75" s="35" t="s">
        <v>28</v>
      </c>
    </row>
    <row r="76" spans="1:23" x14ac:dyDescent="0.2">
      <c r="A76" s="29" t="s">
        <v>17</v>
      </c>
      <c r="B76" s="29">
        <v>150.19499999999999</v>
      </c>
      <c r="C76" s="31">
        <v>0.11729600501020343</v>
      </c>
      <c r="D76" s="31">
        <v>5.3945466973199258E-3</v>
      </c>
      <c r="E76" s="31">
        <v>0.18487368555342165</v>
      </c>
      <c r="F76" s="31">
        <v>4.771816997302912E-3</v>
      </c>
      <c r="G76" s="31">
        <v>-6.3263494847531909E-2</v>
      </c>
      <c r="H76" s="29">
        <v>4.0807134519624741E-3</v>
      </c>
      <c r="I76" s="29">
        <v>0.95853780072018036</v>
      </c>
      <c r="J76" s="31">
        <v>6.1828991696401096E-2</v>
      </c>
      <c r="K76" s="31">
        <v>0.11406476830419</v>
      </c>
      <c r="L76" s="29">
        <v>4.9272463910885467</v>
      </c>
      <c r="M76" s="29">
        <v>0.12027498767187154</v>
      </c>
      <c r="N76" s="29"/>
      <c r="O76" s="29"/>
      <c r="P76" s="32"/>
      <c r="Q76" s="31"/>
      <c r="R76" s="31"/>
      <c r="S76" s="29">
        <v>-37.484851918593499</v>
      </c>
      <c r="T76" s="33">
        <v>-299.01213016599399</v>
      </c>
      <c r="U76" s="31">
        <v>0.8666851827539972</v>
      </c>
      <c r="V76" s="34" t="s">
        <v>15</v>
      </c>
      <c r="W76" s="35" t="s">
        <v>28</v>
      </c>
    </row>
    <row r="77" spans="1:23" x14ac:dyDescent="0.2">
      <c r="A77" s="29" t="s">
        <v>17</v>
      </c>
      <c r="B77" s="29">
        <v>150.94500000000002</v>
      </c>
      <c r="C77" s="31">
        <v>0.13245460365274297</v>
      </c>
      <c r="D77" s="31">
        <v>5.3945466973199258E-3</v>
      </c>
      <c r="E77" s="31">
        <v>0.19507569756060938</v>
      </c>
      <c r="F77" s="31">
        <v>4.771816997302912E-3</v>
      </c>
      <c r="G77" s="31">
        <v>-7.6417064461709039E-2</v>
      </c>
      <c r="H77" s="29">
        <v>4.0807134519624741E-3</v>
      </c>
      <c r="I77" s="29">
        <v>1.1578343100258943</v>
      </c>
      <c r="J77" s="31">
        <v>6.1828991696401096E-2</v>
      </c>
      <c r="K77" s="31">
        <v>0.13125786494121</v>
      </c>
      <c r="L77" s="29">
        <v>5.0345524491779425</v>
      </c>
      <c r="M77" s="29">
        <v>0.12027498767187154</v>
      </c>
      <c r="N77" s="29"/>
      <c r="O77" s="29"/>
      <c r="P77" s="32"/>
      <c r="Q77" s="31"/>
      <c r="R77" s="31"/>
      <c r="S77" s="29">
        <v>-37.707455584573403</v>
      </c>
      <c r="T77" s="33">
        <v>-300.75566575502302</v>
      </c>
      <c r="U77" s="31">
        <v>0.90397892156420312</v>
      </c>
      <c r="V77" s="34" t="s">
        <v>15</v>
      </c>
      <c r="W77" s="35" t="s">
        <v>28</v>
      </c>
    </row>
    <row r="78" spans="1:23" x14ac:dyDescent="0.2">
      <c r="A78" s="29" t="s">
        <v>17</v>
      </c>
      <c r="B78" s="29">
        <v>151.155</v>
      </c>
      <c r="C78" s="31">
        <v>0.1868952714532135</v>
      </c>
      <c r="D78" s="31">
        <v>5.3945466973199258E-3</v>
      </c>
      <c r="E78" s="31">
        <v>0.22495912210973579</v>
      </c>
      <c r="F78" s="31">
        <v>4.771816997302912E-3</v>
      </c>
      <c r="G78" s="31">
        <v>-3.6842260802694149E-2</v>
      </c>
      <c r="H78" s="29">
        <v>4.0807134519624741E-3</v>
      </c>
      <c r="I78" s="29">
        <v>0.55821607276809315</v>
      </c>
      <c r="J78" s="31">
        <v>6.1828991696401096E-2</v>
      </c>
      <c r="K78" s="31">
        <v>8.3299916285431902E-2</v>
      </c>
      <c r="L78" s="29">
        <v>4.3963045895349939</v>
      </c>
      <c r="M78" s="29">
        <v>0.12027498767187154</v>
      </c>
      <c r="N78" s="29"/>
      <c r="O78" s="29"/>
      <c r="P78" s="32"/>
      <c r="Q78" s="31"/>
      <c r="R78" s="31"/>
      <c r="S78" s="29">
        <v>-38.928897251782502</v>
      </c>
      <c r="T78" s="33">
        <v>-311.549300635017</v>
      </c>
      <c r="U78" s="31">
        <v>-0.11812262075699209</v>
      </c>
      <c r="V78" s="34" t="s">
        <v>15</v>
      </c>
      <c r="W78" s="35" t="s">
        <v>28</v>
      </c>
    </row>
    <row r="79" spans="1:23" x14ac:dyDescent="0.2">
      <c r="A79" s="29" t="s">
        <v>17</v>
      </c>
      <c r="B79" s="29">
        <v>151.25500000000002</v>
      </c>
      <c r="C79" s="31">
        <v>0.17307229982410632</v>
      </c>
      <c r="D79" s="31">
        <v>5.3945466973199258E-3</v>
      </c>
      <c r="E79" s="31">
        <v>0.21637363387916331</v>
      </c>
      <c r="F79" s="31">
        <v>4.771816997302912E-3</v>
      </c>
      <c r="G79" s="31">
        <v>-4.4770240989588928E-2</v>
      </c>
      <c r="H79" s="29">
        <v>4.0807134519624741E-3</v>
      </c>
      <c r="I79" s="29">
        <v>0.67833698469074122</v>
      </c>
      <c r="J79" s="31">
        <v>6.1828991696401096E-2</v>
      </c>
      <c r="K79" s="31">
        <v>9.1783630687541001E-2</v>
      </c>
      <c r="L79" s="29">
        <v>5.5722392355415096</v>
      </c>
      <c r="M79" s="29">
        <v>0.12027498767187154</v>
      </c>
      <c r="N79" s="29"/>
      <c r="O79" s="29"/>
      <c r="P79" s="32"/>
      <c r="Q79" s="31"/>
      <c r="R79" s="31"/>
      <c r="S79" s="29">
        <v>-38.719506180610502</v>
      </c>
      <c r="T79" s="33">
        <v>-311.84191000797802</v>
      </c>
      <c r="U79" s="31">
        <v>-2.0858605630940019</v>
      </c>
      <c r="V79" s="34" t="s">
        <v>15</v>
      </c>
      <c r="W79" s="35" t="s">
        <v>28</v>
      </c>
    </row>
    <row r="80" spans="1:23" x14ac:dyDescent="0.2">
      <c r="A80" s="29" t="s">
        <v>17</v>
      </c>
      <c r="B80" s="29">
        <v>151.94499999999999</v>
      </c>
      <c r="C80" s="31">
        <v>1.8091723584801045E-2</v>
      </c>
      <c r="D80" s="31">
        <v>5.3945466973199258E-3</v>
      </c>
      <c r="E80" s="31">
        <v>0.14206001131689128</v>
      </c>
      <c r="F80" s="31">
        <v>4.771816997302912E-3</v>
      </c>
      <c r="G80" s="31">
        <v>-0.13258625541501257</v>
      </c>
      <c r="H80" s="29">
        <v>4.0807134519624741E-3</v>
      </c>
      <c r="I80" s="29">
        <v>2.0088826578032206</v>
      </c>
      <c r="J80" s="31">
        <v>6.1828991696401096E-2</v>
      </c>
      <c r="K80" s="31">
        <v>0.21018781968139602</v>
      </c>
      <c r="L80" s="29">
        <v>5.8765616267644205</v>
      </c>
      <c r="M80" s="29">
        <v>0.12027498767187154</v>
      </c>
      <c r="N80" s="29"/>
      <c r="O80" s="29"/>
      <c r="P80" s="32"/>
      <c r="Q80" s="31"/>
      <c r="R80" s="31"/>
      <c r="S80" s="29">
        <v>-36.4780962667691</v>
      </c>
      <c r="T80" s="33">
        <v>-288.37380934771397</v>
      </c>
      <c r="U80" s="31">
        <v>3.4509607864388272</v>
      </c>
      <c r="V80" s="34" t="s">
        <v>15</v>
      </c>
      <c r="W80" s="35" t="s">
        <v>28</v>
      </c>
    </row>
    <row r="81" spans="1:23" x14ac:dyDescent="0.2">
      <c r="A81" s="29" t="s">
        <v>17</v>
      </c>
      <c r="B81" s="29">
        <v>152.26500000000001</v>
      </c>
      <c r="C81" s="31">
        <v>2.1477479475118244E-2</v>
      </c>
      <c r="D81" s="31">
        <v>5.3945466973199258E-3</v>
      </c>
      <c r="E81" s="31">
        <v>0.11484870444644635</v>
      </c>
      <c r="F81" s="31">
        <v>4.771816997302912E-3</v>
      </c>
      <c r="G81" s="31">
        <v>-9.9473915296410809E-2</v>
      </c>
      <c r="H81" s="29">
        <v>4.0807134519624741E-3</v>
      </c>
      <c r="I81" s="29">
        <v>1.5071805347941032</v>
      </c>
      <c r="J81" s="31">
        <v>6.1828991696401096E-2</v>
      </c>
      <c r="K81" s="31">
        <v>0.16290720014418</v>
      </c>
      <c r="L81" s="29">
        <v>5.4215034903133397</v>
      </c>
      <c r="M81" s="29">
        <v>0.12027498767187154</v>
      </c>
      <c r="N81" s="29"/>
      <c r="O81" s="29"/>
      <c r="P81" s="32"/>
      <c r="Q81" s="31">
        <v>-9.1149851822269596</v>
      </c>
      <c r="R81" s="29" t="s">
        <v>13</v>
      </c>
      <c r="S81" s="29">
        <v>-37.1824538985272</v>
      </c>
      <c r="T81" s="33">
        <v>-295.90590724190298</v>
      </c>
      <c r="U81" s="31">
        <v>1.5537239463146193</v>
      </c>
      <c r="V81" s="34" t="s">
        <v>15</v>
      </c>
      <c r="W81" s="35" t="s">
        <v>28</v>
      </c>
    </row>
    <row r="82" spans="1:23" x14ac:dyDescent="0.2">
      <c r="A82" s="29" t="s">
        <v>17</v>
      </c>
      <c r="B82" s="29">
        <v>152.66499999999999</v>
      </c>
      <c r="C82" s="31">
        <v>2.3900183273362074E-2</v>
      </c>
      <c r="D82" s="31">
        <v>5.3945466973199258E-3</v>
      </c>
      <c r="E82" s="31">
        <v>0.14505489235072666</v>
      </c>
      <c r="F82" s="31">
        <v>4.771816997302912E-3</v>
      </c>
      <c r="G82" s="31">
        <v>-0.12192794992327283</v>
      </c>
      <c r="H82" s="29">
        <v>4.0807134519624741E-3</v>
      </c>
      <c r="I82" s="29">
        <v>1.8473931806556489</v>
      </c>
      <c r="J82" s="31">
        <v>6.1828991696401096E-2</v>
      </c>
      <c r="K82" s="31">
        <v>0.19481129293119401</v>
      </c>
      <c r="L82" s="29">
        <v>5.3868646915158358</v>
      </c>
      <c r="M82" s="29">
        <v>0.12027498767187154</v>
      </c>
      <c r="N82" s="29"/>
      <c r="O82" s="29"/>
      <c r="P82" s="32"/>
      <c r="Q82" s="31">
        <v>-10.503286098891</v>
      </c>
      <c r="R82" s="31">
        <v>5.6453154160982365E-2</v>
      </c>
      <c r="S82" s="29">
        <v>-36.657769583961098</v>
      </c>
      <c r="T82" s="33">
        <v>-291.62084862789698</v>
      </c>
      <c r="U82" s="31">
        <v>1.6413080437918097</v>
      </c>
      <c r="V82" s="34" t="s">
        <v>15</v>
      </c>
      <c r="W82" s="35" t="s">
        <v>28</v>
      </c>
    </row>
    <row r="83" spans="1:23" x14ac:dyDescent="0.2">
      <c r="A83" s="29" t="s">
        <v>17</v>
      </c>
      <c r="B83" s="29">
        <v>153.035</v>
      </c>
      <c r="C83" s="31">
        <v>2.483085009385988E-3</v>
      </c>
      <c r="D83" s="31">
        <v>5.3945466973199258E-3</v>
      </c>
      <c r="E83" s="31">
        <v>0.17592248941888933</v>
      </c>
      <c r="F83" s="31">
        <v>4.771816997302912E-3</v>
      </c>
      <c r="G83" s="31">
        <v>-0.17202779534342127</v>
      </c>
      <c r="H83" s="29">
        <v>4.0807134519624741E-3</v>
      </c>
      <c r="I83" s="29">
        <v>2.606481747627595</v>
      </c>
      <c r="J83" s="31">
        <v>6.1828991696401096E-2</v>
      </c>
      <c r="K83" s="31">
        <v>0.26788112143514597</v>
      </c>
      <c r="L83" s="29">
        <v>5.0547188700489354</v>
      </c>
      <c r="M83" s="29">
        <v>0.12027498767187154</v>
      </c>
      <c r="N83" s="29"/>
      <c r="O83" s="29"/>
      <c r="P83" s="32"/>
      <c r="Q83" s="31"/>
      <c r="R83" s="31"/>
      <c r="S83" s="29">
        <v>-36.349075533678999</v>
      </c>
      <c r="T83" s="33">
        <v>-287.380754906692</v>
      </c>
      <c r="U83" s="31">
        <v>3.4118493627399857</v>
      </c>
      <c r="V83" s="34" t="s">
        <v>15</v>
      </c>
      <c r="W83" s="35" t="s">
        <v>28</v>
      </c>
    </row>
    <row r="84" spans="1:23" x14ac:dyDescent="0.2">
      <c r="A84" s="29" t="s">
        <v>17</v>
      </c>
      <c r="B84" s="29">
        <v>153.035</v>
      </c>
      <c r="C84" s="31">
        <v>-1.378326452172729E-2</v>
      </c>
      <c r="D84" s="31">
        <v>5.1815400692808026E-3</v>
      </c>
      <c r="E84" s="31">
        <v>0.13215447309788964</v>
      </c>
      <c r="F84" s="31">
        <v>5.5387577829557437E-3</v>
      </c>
      <c r="G84" s="31">
        <v>-0.14333494145946091</v>
      </c>
      <c r="H84" s="29">
        <v>3.91664196483854E-3</v>
      </c>
      <c r="I84" s="29">
        <v>2.171741537264559</v>
      </c>
      <c r="J84" s="31">
        <v>5.93430600733112E-2</v>
      </c>
      <c r="K84" s="31">
        <v>0.22513598518599098</v>
      </c>
      <c r="L84" s="29">
        <v>6.2046784234339736</v>
      </c>
      <c r="M84" s="29">
        <v>0.17940999860929752</v>
      </c>
      <c r="N84" s="29"/>
      <c r="O84" s="29"/>
      <c r="P84" s="32"/>
      <c r="Q84" s="31"/>
      <c r="R84" s="31"/>
      <c r="S84" s="29">
        <v>-36.151429645606498</v>
      </c>
      <c r="T84" s="33">
        <v>-285.67167368832202</v>
      </c>
      <c r="U84" s="31">
        <v>3.5397634765299699</v>
      </c>
      <c r="V84" s="34" t="s">
        <v>15</v>
      </c>
      <c r="W84" s="35" t="s">
        <v>28</v>
      </c>
    </row>
    <row r="85" spans="1:23" x14ac:dyDescent="0.2">
      <c r="A85" s="29" t="s">
        <v>17</v>
      </c>
      <c r="B85" s="29">
        <v>153.86500000000001</v>
      </c>
      <c r="C85" s="31">
        <v>8.5393973216607577E-2</v>
      </c>
      <c r="D85" s="31">
        <v>5.3945466973199258E-3</v>
      </c>
      <c r="E85" s="31">
        <v>0.14440437622775804</v>
      </c>
      <c r="F85" s="31">
        <v>4.771816997302912E-3</v>
      </c>
      <c r="G85" s="31">
        <v>-5.9306365081335244E-2</v>
      </c>
      <c r="H85" s="29">
        <v>4.0807134519624741E-3</v>
      </c>
      <c r="I85" s="29">
        <v>0.89858128911113999</v>
      </c>
      <c r="J85" s="31">
        <v>6.1828991696401096E-2</v>
      </c>
      <c r="K85" s="31">
        <v>0.10907477960372</v>
      </c>
      <c r="L85" s="29">
        <v>5.7517522885153216</v>
      </c>
      <c r="M85" s="29">
        <v>0.12027498767187154</v>
      </c>
      <c r="N85" s="29"/>
      <c r="O85" s="29"/>
      <c r="P85" s="32"/>
      <c r="Q85" s="31"/>
      <c r="R85" s="31"/>
      <c r="S85" s="29">
        <v>-37.169073970651198</v>
      </c>
      <c r="T85" s="33">
        <v>-295.11184636902402</v>
      </c>
      <c r="U85" s="31">
        <v>2.2407453961855595</v>
      </c>
      <c r="V85" s="34" t="s">
        <v>15</v>
      </c>
      <c r="W85" s="35" t="s">
        <v>28</v>
      </c>
    </row>
    <row r="86" spans="1:23" x14ac:dyDescent="0.2">
      <c r="A86" s="29" t="s">
        <v>17</v>
      </c>
      <c r="B86" s="29">
        <v>153.86500000000001</v>
      </c>
      <c r="C86" s="31">
        <v>8.4781082340112945E-2</v>
      </c>
      <c r="D86" s="31">
        <v>5.1815400692808026E-3</v>
      </c>
      <c r="E86" s="31">
        <v>0.1347941342109138</v>
      </c>
      <c r="F86" s="31">
        <v>5.5387577829557437E-3</v>
      </c>
      <c r="G86" s="31">
        <v>-5.6413166326652053E-2</v>
      </c>
      <c r="H86" s="29">
        <v>3.91664196483854E-3</v>
      </c>
      <c r="I86" s="29">
        <v>0.85474494434321291</v>
      </c>
      <c r="J86" s="31">
        <v>5.93430600733112E-2</v>
      </c>
      <c r="K86" s="31">
        <v>0.104055216004136</v>
      </c>
      <c r="L86" s="29">
        <v>5.5465086166528454</v>
      </c>
      <c r="M86" s="29">
        <v>0.17940999860929752</v>
      </c>
      <c r="N86" s="29"/>
      <c r="O86" s="29"/>
      <c r="P86" s="32"/>
      <c r="Q86" s="31"/>
      <c r="R86" s="31"/>
      <c r="S86" s="29">
        <v>-36.884572133456999</v>
      </c>
      <c r="T86" s="33">
        <v>-293.263754815992</v>
      </c>
      <c r="U86" s="31">
        <v>1.812822251663988</v>
      </c>
      <c r="V86" s="34" t="s">
        <v>15</v>
      </c>
      <c r="W86" s="35" t="s">
        <v>28</v>
      </c>
    </row>
    <row r="87" spans="1:23" x14ac:dyDescent="0.2">
      <c r="A87" s="29" t="s">
        <v>17</v>
      </c>
      <c r="B87" s="29">
        <v>154.66499999999999</v>
      </c>
      <c r="C87" s="31">
        <v>9.6868638135738649E-2</v>
      </c>
      <c r="D87" s="31">
        <v>5.3945466973199258E-3</v>
      </c>
      <c r="E87" s="31">
        <v>0.15134232690861005</v>
      </c>
      <c r="F87" s="31">
        <v>4.771816997302912E-3</v>
      </c>
      <c r="G87" s="31">
        <v>-5.5853705119179864E-2</v>
      </c>
      <c r="H87" s="29">
        <v>4.0807134519624741E-3</v>
      </c>
      <c r="I87" s="29">
        <v>0.84626825938151307</v>
      </c>
      <c r="J87" s="31">
        <v>6.1828991696401096E-2</v>
      </c>
      <c r="K87" s="31">
        <v>0.10480707935325601</v>
      </c>
      <c r="L87" s="29">
        <v>5.1076357662045435</v>
      </c>
      <c r="M87" s="29">
        <v>0.12027498767187154</v>
      </c>
      <c r="N87" s="29"/>
      <c r="O87" s="29"/>
      <c r="P87" s="32"/>
      <c r="Q87" s="31">
        <v>-7.1064795958975751</v>
      </c>
      <c r="R87" s="31">
        <v>3.7051893595180609E-2</v>
      </c>
      <c r="S87" s="29">
        <v>-36.4754594332015</v>
      </c>
      <c r="T87" s="33">
        <v>-291.82148284112998</v>
      </c>
      <c r="U87" s="31">
        <v>-1.7807375517975288E-2</v>
      </c>
      <c r="V87" s="34" t="s">
        <v>15</v>
      </c>
      <c r="W87" s="35" t="s">
        <v>28</v>
      </c>
    </row>
    <row r="88" spans="1:23" x14ac:dyDescent="0.2">
      <c r="A88" s="29" t="s">
        <v>17</v>
      </c>
      <c r="B88" s="29">
        <v>154.755</v>
      </c>
      <c r="C88" s="31">
        <v>9.2394336125511956E-2</v>
      </c>
      <c r="D88" s="31">
        <v>5.3945466973199258E-3</v>
      </c>
      <c r="E88" s="31">
        <v>0.1457269603724054</v>
      </c>
      <c r="F88" s="31">
        <v>4.771816997302912E-3</v>
      </c>
      <c r="G88" s="31">
        <v>-5.8809172577611868E-2</v>
      </c>
      <c r="H88" s="29">
        <v>4.0807134519624741E-3</v>
      </c>
      <c r="I88" s="29">
        <v>0.89104806935775549</v>
      </c>
      <c r="J88" s="31">
        <v>6.1828991696401096E-2</v>
      </c>
      <c r="K88" s="31">
        <v>0.10845501755684499</v>
      </c>
      <c r="L88" s="29">
        <v>5.0756031095295917</v>
      </c>
      <c r="M88" s="29">
        <v>0.12027498767187154</v>
      </c>
      <c r="N88" s="29"/>
      <c r="O88" s="29"/>
      <c r="P88" s="32"/>
      <c r="Q88" s="31">
        <v>-9.2817649910673108</v>
      </c>
      <c r="R88" s="29" t="s">
        <v>13</v>
      </c>
      <c r="S88" s="29">
        <v>-36.564110088829104</v>
      </c>
      <c r="T88" s="33">
        <v>-291.84758649159801</v>
      </c>
      <c r="U88" s="31">
        <v>0.66529421903481989</v>
      </c>
      <c r="V88" s="34" t="s">
        <v>15</v>
      </c>
      <c r="W88" s="35" t="s">
        <v>28</v>
      </c>
    </row>
    <row r="89" spans="1:23" x14ac:dyDescent="0.2">
      <c r="A89" s="29" t="s">
        <v>17</v>
      </c>
      <c r="B89" s="29">
        <v>154.845</v>
      </c>
      <c r="C89" s="31">
        <v>8.3976789695627829E-2</v>
      </c>
      <c r="D89" s="31">
        <v>5.1815400692808026E-3</v>
      </c>
      <c r="E89" s="31">
        <v>0.16876455281722436</v>
      </c>
      <c r="F89" s="31">
        <v>5.5387577829557437E-3</v>
      </c>
      <c r="G89" s="31">
        <v>-7.6772338869157686E-2</v>
      </c>
      <c r="H89" s="29">
        <v>3.91664196483854E-3</v>
      </c>
      <c r="I89" s="29">
        <v>1.1632172555932982</v>
      </c>
      <c r="J89" s="31">
        <v>5.93430600733112E-2</v>
      </c>
      <c r="K89" s="31">
        <v>0.13058461860404799</v>
      </c>
      <c r="L89" s="29">
        <v>5.3799698434791043</v>
      </c>
      <c r="M89" s="29">
        <v>0.17940999860929752</v>
      </c>
      <c r="N89" s="29"/>
      <c r="O89" s="29"/>
      <c r="P89" s="32"/>
      <c r="Q89" s="31"/>
      <c r="R89" s="31"/>
      <c r="S89" s="29">
        <v>-36.4705622579649</v>
      </c>
      <c r="T89" s="33">
        <v>-290.77255803942103</v>
      </c>
      <c r="U89" s="31">
        <v>0.99194002429817374</v>
      </c>
      <c r="V89" s="34" t="s">
        <v>15</v>
      </c>
      <c r="W89" s="35" t="s">
        <v>28</v>
      </c>
    </row>
    <row r="90" spans="1:23" x14ac:dyDescent="0.2">
      <c r="A90" s="29" t="s">
        <v>17</v>
      </c>
      <c r="B90" s="29">
        <v>154.94499999999999</v>
      </c>
      <c r="C90" s="31">
        <v>4.3503990139637239E-2</v>
      </c>
      <c r="D90" s="31">
        <v>5.1815400692808026E-3</v>
      </c>
      <c r="E90" s="31">
        <v>0.13667203928857674</v>
      </c>
      <c r="F90" s="31">
        <v>5.5387577829557437E-3</v>
      </c>
      <c r="G90" s="31">
        <v>-9.07415350769325E-2</v>
      </c>
      <c r="H90" s="29">
        <v>3.91664196483854E-3</v>
      </c>
      <c r="I90" s="29">
        <v>1.3748717435898863</v>
      </c>
      <c r="J90" s="31">
        <v>5.93430600733112E-2</v>
      </c>
      <c r="K90" s="31">
        <v>0.14974752716517098</v>
      </c>
      <c r="L90" s="29">
        <v>5.2341806518929612</v>
      </c>
      <c r="M90" s="29">
        <v>0.17940999860929752</v>
      </c>
      <c r="N90" s="29"/>
      <c r="O90" s="29"/>
      <c r="P90" s="32"/>
      <c r="Q90" s="31"/>
      <c r="R90" s="31"/>
      <c r="S90" s="29">
        <v>-36.693859250996603</v>
      </c>
      <c r="T90" s="33">
        <v>-291.431482476844</v>
      </c>
      <c r="U90" s="31">
        <v>2.1193915311288265</v>
      </c>
      <c r="V90" s="34" t="s">
        <v>15</v>
      </c>
      <c r="W90" s="35" t="s">
        <v>28</v>
      </c>
    </row>
    <row r="91" spans="1:23" x14ac:dyDescent="0.2">
      <c r="A91" s="29" t="s">
        <v>17</v>
      </c>
      <c r="B91" s="29">
        <v>155.35499999999999</v>
      </c>
      <c r="C91" s="31">
        <v>2.5805320753802263E-2</v>
      </c>
      <c r="D91" s="31">
        <v>5.1815400692808026E-3</v>
      </c>
      <c r="E91" s="31">
        <v>0.12840292463689451</v>
      </c>
      <c r="F91" s="31">
        <v>5.5387577829557437E-3</v>
      </c>
      <c r="G91" s="31">
        <v>-0.10579490788953372</v>
      </c>
      <c r="H91" s="29">
        <v>3.91664196483854E-3</v>
      </c>
      <c r="I91" s="29">
        <v>1.6029531498414198</v>
      </c>
      <c r="J91" s="31">
        <v>5.93430600733112E-2</v>
      </c>
      <c r="K91" s="31">
        <v>0.17092743134070099</v>
      </c>
      <c r="L91" s="29">
        <v>5.4993223511634604</v>
      </c>
      <c r="M91" s="29">
        <v>0.17940999860929752</v>
      </c>
      <c r="N91" s="29"/>
      <c r="O91" s="29"/>
      <c r="P91" s="32"/>
      <c r="Q91" s="31"/>
      <c r="R91" s="31"/>
      <c r="S91" s="29">
        <v>-36.746568841626399</v>
      </c>
      <c r="T91" s="33">
        <v>-292.18963091580798</v>
      </c>
      <c r="U91" s="31">
        <v>1.7829198172032079</v>
      </c>
      <c r="V91" s="34" t="s">
        <v>15</v>
      </c>
      <c r="W91" s="35" t="s">
        <v>28</v>
      </c>
    </row>
    <row r="92" spans="1:23" x14ac:dyDescent="0.2">
      <c r="A92" s="29" t="s">
        <v>17</v>
      </c>
      <c r="B92" s="29">
        <v>155.58499999999998</v>
      </c>
      <c r="C92" s="31">
        <v>-2.3976072578868468E-2</v>
      </c>
      <c r="D92" s="31">
        <v>5.1815400692808026E-3</v>
      </c>
      <c r="E92" s="31">
        <v>0.10447567227545029</v>
      </c>
      <c r="F92" s="31">
        <v>5.5387577829557437E-3</v>
      </c>
      <c r="G92" s="31">
        <v>-0.12353622150429455</v>
      </c>
      <c r="H92" s="29">
        <v>3.91664196483854E-3</v>
      </c>
      <c r="I92" s="29">
        <v>1.8717609318832507</v>
      </c>
      <c r="J92" s="31">
        <v>5.93430600733112E-2</v>
      </c>
      <c r="K92" s="31">
        <v>0.196358062325205</v>
      </c>
      <c r="L92" s="29">
        <v>5.4022992916880064</v>
      </c>
      <c r="M92" s="29">
        <v>0.17940999860929752</v>
      </c>
      <c r="N92" s="29"/>
      <c r="O92" s="29"/>
      <c r="P92" s="32"/>
      <c r="Q92" s="31"/>
      <c r="R92" s="31"/>
      <c r="S92" s="29">
        <v>-37.335957900486598</v>
      </c>
      <c r="T92" s="33">
        <v>-297.38781258880698</v>
      </c>
      <c r="U92" s="31">
        <v>1.299850615085802</v>
      </c>
      <c r="V92" s="34" t="s">
        <v>15</v>
      </c>
      <c r="W92" s="35" t="s">
        <v>28</v>
      </c>
    </row>
    <row r="93" spans="1:23" x14ac:dyDescent="0.2">
      <c r="A93" s="29" t="s">
        <v>17</v>
      </c>
      <c r="B93" s="29">
        <v>155.66499999999999</v>
      </c>
      <c r="C93" s="31">
        <v>-2.1531468954893995E-2</v>
      </c>
      <c r="D93" s="31">
        <v>5.1815400692808026E-3</v>
      </c>
      <c r="E93" s="31">
        <v>0.10552033623700829</v>
      </c>
      <c r="F93" s="31">
        <v>5.5387577829557437E-3</v>
      </c>
      <c r="G93" s="31">
        <v>-0.12715931390527846</v>
      </c>
      <c r="H93" s="29">
        <v>3.91664196483854E-3</v>
      </c>
      <c r="I93" s="29">
        <v>1.9266562712920976</v>
      </c>
      <c r="J93" s="31">
        <v>5.93430600733112E-2</v>
      </c>
      <c r="K93" s="31">
        <v>0.201597724828323</v>
      </c>
      <c r="L93" s="29">
        <v>5.5547713207559912</v>
      </c>
      <c r="M93" s="29">
        <v>0.17940999860929752</v>
      </c>
      <c r="N93" s="29"/>
      <c r="O93" s="29"/>
      <c r="P93" s="32"/>
      <c r="Q93" s="31"/>
      <c r="R93" s="31"/>
      <c r="S93" s="29">
        <v>-37.164412141891503</v>
      </c>
      <c r="T93" s="33">
        <v>-296.61617739235197</v>
      </c>
      <c r="U93" s="31">
        <v>0.69911974278005573</v>
      </c>
      <c r="V93" s="34" t="s">
        <v>15</v>
      </c>
      <c r="W93" s="35" t="s">
        <v>28</v>
      </c>
    </row>
    <row r="94" spans="1:23" x14ac:dyDescent="0.2">
      <c r="A94" s="29" t="s">
        <v>17</v>
      </c>
      <c r="B94" s="29">
        <v>155.815</v>
      </c>
      <c r="C94" s="31">
        <v>-1.3043920030098022E-2</v>
      </c>
      <c r="D94" s="31">
        <v>5.1815400692808026E-3</v>
      </c>
      <c r="E94" s="31">
        <v>0.10825334665942599</v>
      </c>
      <c r="F94" s="31">
        <v>5.5387577829557437E-3</v>
      </c>
      <c r="G94" s="31">
        <v>-0.12351440435898198</v>
      </c>
      <c r="H94" s="29">
        <v>3.91664196483854E-3</v>
      </c>
      <c r="I94" s="29">
        <v>1.8714303690754843</v>
      </c>
      <c r="J94" s="31">
        <v>5.93430600733112E-2</v>
      </c>
      <c r="K94" s="31">
        <v>0.19632655205510202</v>
      </c>
      <c r="L94" s="29">
        <v>5.1904889594824866</v>
      </c>
      <c r="M94" s="29">
        <v>0.17940999860929752</v>
      </c>
      <c r="N94" s="29"/>
      <c r="O94" s="29"/>
      <c r="P94" s="32"/>
      <c r="Q94" s="31"/>
      <c r="R94" s="31"/>
      <c r="S94" s="29">
        <v>-37.117452688421402</v>
      </c>
      <c r="T94" s="33">
        <v>-295.247271507005</v>
      </c>
      <c r="U94" s="31">
        <v>1.6923500003662184</v>
      </c>
      <c r="V94" s="34" t="s">
        <v>15</v>
      </c>
      <c r="W94" s="35" t="s">
        <v>28</v>
      </c>
    </row>
    <row r="95" spans="1:23" x14ac:dyDescent="0.2">
      <c r="A95" s="29" t="s">
        <v>17</v>
      </c>
      <c r="B95" s="29">
        <v>156.32499999999999</v>
      </c>
      <c r="C95" s="31">
        <v>4.0552514218417102E-2</v>
      </c>
      <c r="D95" s="31">
        <v>5.1815400692808026E-3</v>
      </c>
      <c r="E95" s="31">
        <v>0.13424669051409488</v>
      </c>
      <c r="F95" s="31">
        <v>5.5387577829557437E-3</v>
      </c>
      <c r="G95" s="31">
        <v>-9.3799206063005514E-2</v>
      </c>
      <c r="H95" s="29">
        <v>3.91664196483854E-3</v>
      </c>
      <c r="I95" s="29">
        <v>1.4212000918637198</v>
      </c>
      <c r="J95" s="31">
        <v>5.93430600733112E-2</v>
      </c>
      <c r="K95" s="31">
        <v>0.15401199885073599</v>
      </c>
      <c r="L95" s="29">
        <v>5.2970552341977672</v>
      </c>
      <c r="M95" s="29">
        <v>0.17940999860929752</v>
      </c>
      <c r="N95" s="29"/>
      <c r="O95" s="29"/>
      <c r="P95" s="32"/>
      <c r="Q95" s="31"/>
      <c r="R95" s="31"/>
      <c r="S95" s="29">
        <v>-36.679483908097502</v>
      </c>
      <c r="T95" s="33">
        <v>-292.63565725283502</v>
      </c>
      <c r="U95" s="31">
        <v>0.80021401194500186</v>
      </c>
      <c r="V95" s="34" t="s">
        <v>15</v>
      </c>
      <c r="W95" s="35" t="s">
        <v>28</v>
      </c>
    </row>
    <row r="96" spans="1:23" x14ac:dyDescent="0.2">
      <c r="A96" s="29" t="s">
        <v>17</v>
      </c>
      <c r="B96" s="29">
        <v>156.44499999999999</v>
      </c>
      <c r="C96" s="31">
        <v>2.7019832419039602E-2</v>
      </c>
      <c r="D96" s="31">
        <v>5.1815400692808026E-3</v>
      </c>
      <c r="E96" s="31">
        <v>0.13099059758059362</v>
      </c>
      <c r="F96" s="31">
        <v>5.5387577829557437E-3</v>
      </c>
      <c r="G96" s="31">
        <v>-0.10040559588531117</v>
      </c>
      <c r="H96" s="29">
        <v>3.91664196483854E-3</v>
      </c>
      <c r="I96" s="29">
        <v>1.5212969073531994</v>
      </c>
      <c r="J96" s="31">
        <v>5.93430600733112E-2</v>
      </c>
      <c r="K96" s="31">
        <v>0.16329434032473</v>
      </c>
      <c r="L96" s="29">
        <v>4.6450938531739094</v>
      </c>
      <c r="M96" s="29">
        <v>0.17940999860929752</v>
      </c>
      <c r="N96" s="31">
        <v>-0.97756700510875905</v>
      </c>
      <c r="O96" s="31">
        <v>0.17142731656810201</v>
      </c>
      <c r="P96" s="32"/>
      <c r="Q96" s="31"/>
      <c r="R96" s="31"/>
      <c r="S96" s="29">
        <v>-36.883613777263797</v>
      </c>
      <c r="T96" s="33">
        <v>-294.74729814001302</v>
      </c>
      <c r="U96" s="31">
        <v>0.3216120780973597</v>
      </c>
      <c r="V96" s="34" t="s">
        <v>15</v>
      </c>
      <c r="W96" s="35" t="s">
        <v>28</v>
      </c>
    </row>
    <row r="97" spans="1:24" x14ac:dyDescent="0.2">
      <c r="A97" s="29" t="s">
        <v>17</v>
      </c>
      <c r="B97" s="29">
        <v>156.82499999999999</v>
      </c>
      <c r="C97" s="31">
        <v>9.5365031695937574E-3</v>
      </c>
      <c r="D97" s="31">
        <v>5.1815400692808026E-3</v>
      </c>
      <c r="E97" s="31">
        <v>0.12438232309630592</v>
      </c>
      <c r="F97" s="31">
        <v>5.5387577829557437E-3</v>
      </c>
      <c r="G97" s="31">
        <v>-0.11051633750880363</v>
      </c>
      <c r="H97" s="29">
        <v>3.91664196483854E-3</v>
      </c>
      <c r="I97" s="29">
        <v>1.6744899622546003</v>
      </c>
      <c r="J97" s="31">
        <v>5.93430600733112E-2</v>
      </c>
      <c r="K97" s="31">
        <v>0.17765349733618699</v>
      </c>
      <c r="L97" s="29">
        <v>5.2770001416970747</v>
      </c>
      <c r="M97" s="29">
        <v>0.17940999860929752</v>
      </c>
      <c r="N97" s="31">
        <v>-0.590595392793825</v>
      </c>
      <c r="O97" s="31">
        <v>0.17142731656810201</v>
      </c>
      <c r="P97" s="32"/>
      <c r="Q97" s="31"/>
      <c r="R97" s="31"/>
      <c r="S97" s="29">
        <v>-36.807903637995501</v>
      </c>
      <c r="T97" s="33">
        <v>-294.60954054564002</v>
      </c>
      <c r="U97" s="31">
        <v>-0.14631144167600496</v>
      </c>
      <c r="V97" s="34" t="s">
        <v>15</v>
      </c>
      <c r="W97" s="35" t="s">
        <v>28</v>
      </c>
    </row>
    <row r="98" spans="1:24" x14ac:dyDescent="0.2">
      <c r="A98" s="29" t="s">
        <v>17</v>
      </c>
      <c r="B98" s="29">
        <v>157.07499999999999</v>
      </c>
      <c r="C98" s="31">
        <v>3.441729973463481E-3</v>
      </c>
      <c r="D98" s="31">
        <v>5.1815400692808026E-3</v>
      </c>
      <c r="E98" s="31">
        <v>0.12254088043239797</v>
      </c>
      <c r="F98" s="31">
        <v>5.5387577829557437E-3</v>
      </c>
      <c r="G98" s="31">
        <v>-0.11301691352816334</v>
      </c>
      <c r="H98" s="29">
        <v>3.91664196483854E-3</v>
      </c>
      <c r="I98" s="29">
        <v>1.7123774776994445</v>
      </c>
      <c r="J98" s="31">
        <v>5.93430600733112E-2</v>
      </c>
      <c r="K98" s="31">
        <v>0.18122904027828401</v>
      </c>
      <c r="L98" s="29">
        <v>5.2841397109242294</v>
      </c>
      <c r="M98" s="29">
        <v>0.17940999860929752</v>
      </c>
      <c r="N98" s="31">
        <v>1.6482020606778398E-2</v>
      </c>
      <c r="O98" s="31">
        <v>0.17142731656810201</v>
      </c>
      <c r="P98" s="32"/>
      <c r="Q98" s="31"/>
      <c r="R98" s="31"/>
      <c r="S98" s="29">
        <v>-36.736985279693698</v>
      </c>
      <c r="T98" s="33">
        <v>-293.57491357810801</v>
      </c>
      <c r="U98" s="31">
        <v>0.32096865944157571</v>
      </c>
      <c r="V98" s="34" t="s">
        <v>15</v>
      </c>
      <c r="W98" s="35" t="s">
        <v>28</v>
      </c>
    </row>
    <row r="99" spans="1:24" x14ac:dyDescent="0.2">
      <c r="A99" s="29" t="s">
        <v>17</v>
      </c>
      <c r="B99" s="29">
        <v>157.17500000000001</v>
      </c>
      <c r="C99" s="31">
        <v>1.0946557527091727E-2</v>
      </c>
      <c r="D99" s="31">
        <v>5.3945466973199258E-3</v>
      </c>
      <c r="E99" s="31">
        <v>0.13058299051138533</v>
      </c>
      <c r="F99" s="31">
        <v>4.771816997302912E-3</v>
      </c>
      <c r="G99" s="31">
        <v>-0.12099348429150947</v>
      </c>
      <c r="H99" s="29">
        <v>4.0807134519624741E-3</v>
      </c>
      <c r="I99" s="29">
        <v>1.833234610477416</v>
      </c>
      <c r="J99" s="31">
        <v>6.1828991696401096E-2</v>
      </c>
      <c r="K99" s="31">
        <v>0.193469159259858</v>
      </c>
      <c r="L99" s="29">
        <v>4.958191156732239</v>
      </c>
      <c r="M99" s="29">
        <v>0.12027498767187154</v>
      </c>
      <c r="N99" s="31"/>
      <c r="O99" s="31"/>
      <c r="P99" s="32"/>
      <c r="Q99" s="31">
        <v>-10.901967595829049</v>
      </c>
      <c r="R99" s="31">
        <v>0.80362157498590914</v>
      </c>
      <c r="S99" s="29">
        <v>-36.726580641609097</v>
      </c>
      <c r="T99" s="33">
        <v>-292.18817163707399</v>
      </c>
      <c r="U99" s="31">
        <v>1.6244734957987816</v>
      </c>
      <c r="V99" s="34" t="s">
        <v>15</v>
      </c>
      <c r="W99" s="35" t="s">
        <v>28</v>
      </c>
    </row>
    <row r="100" spans="1:24" x14ac:dyDescent="0.2">
      <c r="A100" s="29" t="s">
        <v>17</v>
      </c>
      <c r="B100" s="29">
        <v>157.345</v>
      </c>
      <c r="C100" s="31">
        <v>4.8179921639635026E-2</v>
      </c>
      <c r="D100" s="31">
        <v>5.1815400692808026E-3</v>
      </c>
      <c r="E100" s="31">
        <v>0.14332391680760281</v>
      </c>
      <c r="F100" s="31">
        <v>5.5387577829557437E-3</v>
      </c>
      <c r="G100" s="31">
        <v>-9.1363393912802238E-2</v>
      </c>
      <c r="H100" s="29">
        <v>3.91664196483854E-3</v>
      </c>
      <c r="I100" s="29">
        <v>1.3842938471636701</v>
      </c>
      <c r="J100" s="31">
        <v>5.93430600733112E-2</v>
      </c>
      <c r="K100" s="31">
        <v>0.15061305830444</v>
      </c>
      <c r="L100" s="29">
        <v>5.3207934523087363</v>
      </c>
      <c r="M100" s="29">
        <v>0.17940999860929752</v>
      </c>
      <c r="N100" s="31">
        <v>-1.2168587872098999</v>
      </c>
      <c r="O100" s="31">
        <v>0.17142731656810201</v>
      </c>
      <c r="P100" s="32"/>
      <c r="Q100" s="31"/>
      <c r="R100" s="31"/>
      <c r="S100" s="29">
        <v>-36.552022534392798</v>
      </c>
      <c r="T100" s="33">
        <v>-291.83704854139802</v>
      </c>
      <c r="U100" s="31">
        <v>0.57913173374436155</v>
      </c>
      <c r="V100" s="34" t="s">
        <v>15</v>
      </c>
      <c r="W100" s="35" t="s">
        <v>28</v>
      </c>
    </row>
    <row r="101" spans="1:24" x14ac:dyDescent="0.2">
      <c r="A101" s="29" t="s">
        <v>17</v>
      </c>
      <c r="B101" s="29">
        <v>157.595</v>
      </c>
      <c r="C101" s="31">
        <v>-3.17745278167747E-2</v>
      </c>
      <c r="D101" s="31">
        <v>5.1815400692808026E-3</v>
      </c>
      <c r="E101" s="31">
        <v>0.10935664774125442</v>
      </c>
      <c r="F101" s="31">
        <v>5.5387577829557437E-3</v>
      </c>
      <c r="G101" s="31">
        <v>-0.14564602744704391</v>
      </c>
      <c r="H101" s="29">
        <v>3.91664196483854E-3</v>
      </c>
      <c r="I101" s="29">
        <v>2.2067579916218776</v>
      </c>
      <c r="J101" s="31">
        <v>5.93430600733112E-2</v>
      </c>
      <c r="K101" s="31">
        <v>0.22851566054591299</v>
      </c>
      <c r="L101" s="29">
        <v>5.4168849088767068</v>
      </c>
      <c r="M101" s="29">
        <v>0.17940999860929752</v>
      </c>
      <c r="N101" s="31">
        <v>-5.2496644857624702E-2</v>
      </c>
      <c r="O101" s="31">
        <v>0.17142731656810201</v>
      </c>
      <c r="P101" s="32"/>
      <c r="Q101" s="31"/>
      <c r="R101" s="31"/>
      <c r="S101" s="29">
        <v>-36.740818704466697</v>
      </c>
      <c r="T101" s="33">
        <v>-292.23105452810199</v>
      </c>
      <c r="U101" s="31">
        <v>1.6954951076315865</v>
      </c>
      <c r="V101" s="34" t="s">
        <v>15</v>
      </c>
      <c r="W101" s="35" t="s">
        <v>28</v>
      </c>
    </row>
    <row r="102" spans="1:24" x14ac:dyDescent="0.2">
      <c r="A102" s="29" t="s">
        <v>17</v>
      </c>
      <c r="B102" s="29">
        <v>158.745</v>
      </c>
      <c r="C102" s="31">
        <v>-5.5655114904462621E-3</v>
      </c>
      <c r="D102" s="31">
        <v>5.3945466973199258E-3</v>
      </c>
      <c r="E102" s="31">
        <v>0.16597821480290875</v>
      </c>
      <c r="F102" s="31">
        <v>4.771816997302912E-3</v>
      </c>
      <c r="G102" s="31">
        <v>-0.17717054725163717</v>
      </c>
      <c r="H102" s="29">
        <v>4.0807134519624741E-3</v>
      </c>
      <c r="I102" s="29">
        <v>2.6844022310854116</v>
      </c>
      <c r="J102" s="31">
        <v>6.1828991696401096E-2</v>
      </c>
      <c r="K102" s="31">
        <v>0.275468650842082</v>
      </c>
      <c r="L102" s="29">
        <v>9.1742517542270363</v>
      </c>
      <c r="M102" s="29">
        <v>0.12027498767187154</v>
      </c>
      <c r="N102" s="31"/>
      <c r="O102" s="31"/>
      <c r="P102" s="32"/>
      <c r="Q102" s="31">
        <v>-13.662844339868251</v>
      </c>
      <c r="R102" s="31">
        <v>0.54703145519219987</v>
      </c>
      <c r="S102" s="29">
        <v>-35.966791880079001</v>
      </c>
      <c r="T102" s="33">
        <v>-284.78331482251502</v>
      </c>
      <c r="U102" s="31">
        <v>2.9510202181169802</v>
      </c>
      <c r="V102" s="34" t="s">
        <v>15</v>
      </c>
      <c r="W102" s="35" t="s">
        <v>28</v>
      </c>
    </row>
    <row r="103" spans="1:24" x14ac:dyDescent="0.2">
      <c r="A103" s="29" t="s">
        <v>17</v>
      </c>
      <c r="B103" s="29">
        <v>158.80499999999998</v>
      </c>
      <c r="C103" s="31">
        <v>2.8189291256808247E-4</v>
      </c>
      <c r="D103" s="31">
        <v>6.0006093169275897E-3</v>
      </c>
      <c r="E103" s="31">
        <v>0.18753204851784666</v>
      </c>
      <c r="F103" s="31">
        <v>6.3666600717501272E-3</v>
      </c>
      <c r="G103" s="31">
        <v>-0.1879999189587922</v>
      </c>
      <c r="H103" s="29">
        <v>3.5134607881191367E-3</v>
      </c>
      <c r="I103" s="29">
        <v>2.8484836205877606</v>
      </c>
      <c r="J103" s="31">
        <v>5.3234254365441498E-2</v>
      </c>
      <c r="K103" s="31">
        <v>0.28978004625131099</v>
      </c>
      <c r="L103" s="29">
        <v>9.9555653045488857</v>
      </c>
      <c r="M103" s="29">
        <v>0.15531368980388796</v>
      </c>
      <c r="N103" s="31"/>
      <c r="O103" s="31"/>
      <c r="P103" s="32"/>
      <c r="Q103" s="31"/>
      <c r="R103" s="31"/>
      <c r="S103" s="29">
        <v>-35.848492163463</v>
      </c>
      <c r="T103" s="33">
        <v>-283.52189800227802</v>
      </c>
      <c r="U103" s="31">
        <v>3.2660393054259771</v>
      </c>
      <c r="V103" s="34" t="s">
        <v>15</v>
      </c>
      <c r="W103" s="35" t="s">
        <v>28</v>
      </c>
    </row>
    <row r="104" spans="1:24" x14ac:dyDescent="0.2">
      <c r="A104" s="29" t="s">
        <v>17</v>
      </c>
      <c r="B104" s="29">
        <v>158.89500000000001</v>
      </c>
      <c r="C104" s="31">
        <v>-1.476631596519784E-2</v>
      </c>
      <c r="D104" s="31">
        <v>5.3945466973199258E-3</v>
      </c>
      <c r="E104" s="31">
        <v>0.17614942771748687</v>
      </c>
      <c r="F104" s="31">
        <v>4.771816997302912E-3</v>
      </c>
      <c r="G104" s="31">
        <v>-0.20228853333692509</v>
      </c>
      <c r="H104" s="29">
        <v>4.0807134519624741E-3</v>
      </c>
      <c r="I104" s="29">
        <v>3.064977777832198</v>
      </c>
      <c r="J104" s="31">
        <v>6.1828991696401096E-2</v>
      </c>
      <c r="K104" s="31">
        <v>0.31267189192545902</v>
      </c>
      <c r="L104" s="29">
        <v>10.202138891914458</v>
      </c>
      <c r="M104" s="29">
        <v>0.12027498767187154</v>
      </c>
      <c r="N104" s="31"/>
      <c r="O104" s="31"/>
      <c r="P104" s="32"/>
      <c r="Q104" s="31">
        <v>-16.814081547347001</v>
      </c>
      <c r="R104" s="29" t="s">
        <v>13</v>
      </c>
      <c r="S104" s="29">
        <v>-35.701104740826899</v>
      </c>
      <c r="T104" s="33">
        <v>-282.28824162195002</v>
      </c>
      <c r="U104" s="31">
        <v>3.3205963046651732</v>
      </c>
      <c r="V104" s="34" t="s">
        <v>15</v>
      </c>
      <c r="W104" s="35" t="s">
        <v>28</v>
      </c>
    </row>
    <row r="105" spans="1:24" x14ac:dyDescent="0.2">
      <c r="A105" s="29" t="s">
        <v>17</v>
      </c>
      <c r="B105" s="29">
        <v>158.92499999999998</v>
      </c>
      <c r="C105" s="31">
        <v>-2.7170652922681171E-2</v>
      </c>
      <c r="D105" s="31">
        <v>5.1815400692808026E-3</v>
      </c>
      <c r="E105" s="31">
        <v>0.16809247049565101</v>
      </c>
      <c r="F105" s="31">
        <v>5.5387577829557437E-3</v>
      </c>
      <c r="G105" s="31">
        <v>-0.19080578799157699</v>
      </c>
      <c r="H105" s="29">
        <v>3.91664196483854E-3</v>
      </c>
      <c r="I105" s="29">
        <v>2.8909967877511664</v>
      </c>
      <c r="J105" s="31">
        <v>5.93430600733112E-2</v>
      </c>
      <c r="K105" s="31">
        <v>0.29512746914975602</v>
      </c>
      <c r="L105" s="29">
        <v>11.613877842543863</v>
      </c>
      <c r="M105" s="29">
        <v>0.17940999860929752</v>
      </c>
      <c r="N105" s="31">
        <v>1.03445620633891</v>
      </c>
      <c r="O105" s="31">
        <v>0.17142731656810201</v>
      </c>
      <c r="P105" s="32"/>
      <c r="Q105" s="31"/>
      <c r="R105" s="31"/>
      <c r="S105" s="29">
        <v>-35.860089362852797</v>
      </c>
      <c r="T105" s="33">
        <v>-284.35189813383499</v>
      </c>
      <c r="U105" s="31">
        <v>2.5288167689873831</v>
      </c>
      <c r="V105" s="34" t="s">
        <v>15</v>
      </c>
      <c r="W105" s="35" t="s">
        <v>28</v>
      </c>
    </row>
    <row r="106" spans="1:24" x14ac:dyDescent="0.2">
      <c r="A106" s="29" t="s">
        <v>17</v>
      </c>
      <c r="B106" s="29">
        <v>159.11500000000001</v>
      </c>
      <c r="C106" s="31">
        <v>-2.4911571044006209E-2</v>
      </c>
      <c r="D106" s="31">
        <v>5.1815400692808026E-3</v>
      </c>
      <c r="E106" s="31">
        <v>0.165304140053113</v>
      </c>
      <c r="F106" s="31">
        <v>5.5387577829557437E-3</v>
      </c>
      <c r="G106" s="31">
        <v>-0.1911002285507335</v>
      </c>
      <c r="H106" s="29">
        <v>3.91664196483854E-3</v>
      </c>
      <c r="I106" s="29">
        <v>2.8954580083444466</v>
      </c>
      <c r="J106" s="31">
        <v>5.93430600733112E-2</v>
      </c>
      <c r="K106" s="31">
        <v>0.29556449306323102</v>
      </c>
      <c r="L106" s="29">
        <v>11.389691752899056</v>
      </c>
      <c r="M106" s="29">
        <v>0.17940999860929752</v>
      </c>
      <c r="N106" s="31">
        <v>1.3759576675031999</v>
      </c>
      <c r="O106" s="31">
        <v>0.17142731656810201</v>
      </c>
      <c r="P106" s="32"/>
      <c r="Q106" s="31"/>
      <c r="R106" s="31"/>
      <c r="S106" s="29">
        <v>-35.924299227801797</v>
      </c>
      <c r="T106" s="33">
        <v>-284.96939895896401</v>
      </c>
      <c r="U106" s="31">
        <v>2.4249948634503653</v>
      </c>
      <c r="V106" s="34" t="s">
        <v>15</v>
      </c>
      <c r="W106" s="35" t="s">
        <v>28</v>
      </c>
    </row>
    <row r="107" spans="1:24" x14ac:dyDescent="0.2">
      <c r="A107" s="29" t="s">
        <v>17</v>
      </c>
      <c r="B107" s="29">
        <v>159.405</v>
      </c>
      <c r="C107" s="31">
        <v>1.9496149070485913E-2</v>
      </c>
      <c r="D107" s="31">
        <v>5.3945466973199258E-3</v>
      </c>
      <c r="E107" s="31">
        <v>0.19114405208164875</v>
      </c>
      <c r="F107" s="31">
        <v>4.771816997302912E-3</v>
      </c>
      <c r="G107" s="31">
        <v>-0.18251188969409249</v>
      </c>
      <c r="H107" s="29">
        <v>4.0807134519624741E-3</v>
      </c>
      <c r="I107" s="29">
        <v>2.7653316620317043</v>
      </c>
      <c r="J107" s="31">
        <v>6.1828991696401096E-2</v>
      </c>
      <c r="K107" s="31">
        <v>0.28336092924844797</v>
      </c>
      <c r="L107" s="29">
        <v>11.291775503291301</v>
      </c>
      <c r="M107" s="29">
        <v>0.12027498767187154</v>
      </c>
      <c r="N107" s="31">
        <v>-1.7494613846629199</v>
      </c>
      <c r="O107" s="31">
        <v>0.17142731656810201</v>
      </c>
      <c r="P107" s="32"/>
      <c r="Q107" s="31">
        <v>-20.698205660300101</v>
      </c>
      <c r="R107" s="29" t="s">
        <v>13</v>
      </c>
      <c r="S107" s="29">
        <v>-36.041337192531003</v>
      </c>
      <c r="T107" s="33">
        <v>-285.36594502924203</v>
      </c>
      <c r="U107" s="31">
        <v>2.9647525110059973</v>
      </c>
      <c r="V107" s="34" t="s">
        <v>15</v>
      </c>
      <c r="W107" s="35" t="s">
        <v>28</v>
      </c>
    </row>
    <row r="108" spans="1:24" x14ac:dyDescent="0.2">
      <c r="A108" s="29" t="s">
        <v>17</v>
      </c>
      <c r="B108" s="29">
        <v>159.405</v>
      </c>
      <c r="C108" s="31">
        <v>3.5969197629492911E-2</v>
      </c>
      <c r="D108" s="31">
        <v>5.1815400692808026E-3</v>
      </c>
      <c r="E108" s="31">
        <v>0.22038910172983428</v>
      </c>
      <c r="F108" s="31">
        <v>5.5387577829557437E-3</v>
      </c>
      <c r="G108" s="31">
        <v>-0.18552448874709082</v>
      </c>
      <c r="H108" s="29">
        <v>3.91664196483854E-3</v>
      </c>
      <c r="I108" s="29">
        <v>2.8109771022286485</v>
      </c>
      <c r="J108" s="31">
        <v>5.93430600733112E-2</v>
      </c>
      <c r="K108" s="31">
        <v>0.28729344139990798</v>
      </c>
      <c r="L108" s="29">
        <v>13.01107676456148</v>
      </c>
      <c r="M108" s="29">
        <v>0.17940999860929752</v>
      </c>
      <c r="N108" s="31"/>
      <c r="O108" s="31"/>
      <c r="P108" s="32"/>
      <c r="Q108" s="31"/>
      <c r="R108" s="31"/>
      <c r="S108" s="29">
        <v>-35.905132103936403</v>
      </c>
      <c r="T108" s="33">
        <v>-284.464608892868</v>
      </c>
      <c r="U108" s="31">
        <v>2.776447938623221</v>
      </c>
      <c r="V108" s="34" t="s">
        <v>15</v>
      </c>
      <c r="W108" s="35" t="s">
        <v>28</v>
      </c>
      <c r="X108" s="23" t="s">
        <v>48</v>
      </c>
    </row>
    <row r="109" spans="1:24" x14ac:dyDescent="0.2">
      <c r="A109" s="29" t="s">
        <v>17</v>
      </c>
      <c r="B109" s="29">
        <v>159.5</v>
      </c>
      <c r="C109" s="31">
        <v>0.10851476452833353</v>
      </c>
      <c r="D109" s="31">
        <v>5.1815400692808026E-3</v>
      </c>
      <c r="E109" s="31">
        <v>0.30214550342910762</v>
      </c>
      <c r="F109" s="31">
        <v>5.5387577829557437E-3</v>
      </c>
      <c r="G109" s="31">
        <v>-0.19825190354905153</v>
      </c>
      <c r="H109" s="29">
        <v>3.91664196483854E-3</v>
      </c>
      <c r="I109" s="29">
        <v>3.0038167204401742</v>
      </c>
      <c r="J109" s="31">
        <v>5.93430600733112E-2</v>
      </c>
      <c r="K109" s="31">
        <v>0.30618743879986998</v>
      </c>
      <c r="L109" s="29">
        <v>25.07966820304275</v>
      </c>
      <c r="M109" s="29">
        <v>0.17940999860929752</v>
      </c>
      <c r="N109" s="31">
        <v>-3.17735855337797</v>
      </c>
      <c r="O109" s="31">
        <v>0.17142731656810201</v>
      </c>
      <c r="P109" s="32"/>
      <c r="Q109" s="31"/>
      <c r="R109" s="31"/>
      <c r="S109" s="29">
        <v>-35.636792369821102</v>
      </c>
      <c r="T109" s="33">
        <v>-282.27204746074301</v>
      </c>
      <c r="U109" s="31">
        <v>2.8222914978258018</v>
      </c>
      <c r="V109" s="34" t="s">
        <v>15</v>
      </c>
      <c r="W109" s="35" t="s">
        <v>28</v>
      </c>
      <c r="X109" s="23" t="s">
        <v>48</v>
      </c>
    </row>
    <row r="110" spans="1:24" x14ac:dyDescent="0.2">
      <c r="A110" s="29" t="s">
        <v>17</v>
      </c>
      <c r="B110" s="29">
        <v>159.67500000000001</v>
      </c>
      <c r="C110" s="31">
        <v>0.34641134536150808</v>
      </c>
      <c r="D110" s="31">
        <v>5.3945466973199258E-3</v>
      </c>
      <c r="E110" s="31">
        <v>0.60191058973635414</v>
      </c>
      <c r="F110" s="31">
        <v>4.771816997302912E-3</v>
      </c>
      <c r="G110" s="31">
        <v>-0.26318798492019901</v>
      </c>
      <c r="H110" s="29">
        <v>4.0807134519624741E-3</v>
      </c>
      <c r="I110" s="29">
        <v>3.9876967412151361</v>
      </c>
      <c r="J110" s="31">
        <v>6.1828991696401096E-2</v>
      </c>
      <c r="K110" s="31">
        <v>0.403534480823104</v>
      </c>
      <c r="L110" s="29">
        <v>102.4304003321852</v>
      </c>
      <c r="M110" s="29">
        <v>0.12027498767187154</v>
      </c>
      <c r="N110" s="4">
        <v>-14.766696670482581</v>
      </c>
      <c r="O110" s="31">
        <v>0.17142731656810201</v>
      </c>
      <c r="P110" s="32"/>
      <c r="Q110" s="31">
        <v>-57.891066533728349</v>
      </c>
      <c r="R110" s="31">
        <v>0.12022068819677041</v>
      </c>
      <c r="S110" s="29">
        <v>-34.308636532588601</v>
      </c>
      <c r="T110" s="33">
        <v>-270.67773228067199</v>
      </c>
      <c r="U110" s="31">
        <v>3.7913599800368161</v>
      </c>
      <c r="V110" s="34" t="s">
        <v>15</v>
      </c>
      <c r="W110" s="35" t="s">
        <v>28</v>
      </c>
      <c r="X110" s="23" t="s">
        <v>48</v>
      </c>
    </row>
    <row r="111" spans="1:24" x14ac:dyDescent="0.2">
      <c r="A111" s="29" t="s">
        <v>18</v>
      </c>
      <c r="B111" s="29">
        <v>134.71</v>
      </c>
      <c r="C111" s="31">
        <v>0.10903844686027675</v>
      </c>
      <c r="D111" s="31">
        <v>7.2369247339398295E-3</v>
      </c>
      <c r="E111" s="31">
        <v>0.15096252431145984</v>
      </c>
      <c r="F111" s="31">
        <v>8.2976161185760958E-3</v>
      </c>
      <c r="G111" s="31">
        <v>-3.2965990100053411E-2</v>
      </c>
      <c r="H111" s="29">
        <v>6.865174746907632E-3</v>
      </c>
      <c r="I111" s="29">
        <v>0.49948469848565769</v>
      </c>
      <c r="J111" s="31">
        <v>0.10401779919557001</v>
      </c>
      <c r="K111" s="31">
        <v>0.115388700442041</v>
      </c>
      <c r="L111" s="29">
        <v>7.2124369596782598</v>
      </c>
      <c r="M111" s="29">
        <v>0.2462934307488707</v>
      </c>
      <c r="N111" s="29"/>
      <c r="O111" s="29"/>
      <c r="P111" s="32"/>
      <c r="Q111" s="31"/>
      <c r="R111" s="31"/>
      <c r="S111" s="29"/>
      <c r="T111" s="29" t="s">
        <v>13</v>
      </c>
      <c r="U111" s="29" t="s">
        <v>13</v>
      </c>
      <c r="V111" s="34" t="s">
        <v>15</v>
      </c>
      <c r="W111" s="35" t="s">
        <v>28</v>
      </c>
    </row>
    <row r="112" spans="1:24" x14ac:dyDescent="0.2">
      <c r="A112" s="29" t="s">
        <v>18</v>
      </c>
      <c r="B112" s="29">
        <v>142.11000000000001</v>
      </c>
      <c r="C112" s="31">
        <v>9.4741798763786633E-2</v>
      </c>
      <c r="D112" s="31">
        <v>3.535277066303146E-3</v>
      </c>
      <c r="E112" s="31">
        <v>0.15704906542590713</v>
      </c>
      <c r="F112" s="31">
        <v>6.3666600717501272E-3</v>
      </c>
      <c r="G112" s="31">
        <v>-6.6234400838194318E-2</v>
      </c>
      <c r="H112" s="29">
        <v>3.5134607881191367E-3</v>
      </c>
      <c r="I112" s="29">
        <v>1.0035515278514291</v>
      </c>
      <c r="J112" s="31">
        <v>5.3234254365441498E-2</v>
      </c>
      <c r="K112" s="31">
        <v>0.113600363240502</v>
      </c>
      <c r="L112" s="29">
        <v>6.0109910847154779</v>
      </c>
      <c r="M112" s="29">
        <v>0.15531368980388796</v>
      </c>
      <c r="N112" s="29"/>
      <c r="O112" s="29"/>
      <c r="P112" s="32"/>
      <c r="Q112" s="31"/>
      <c r="R112" s="31"/>
      <c r="S112" s="29">
        <v>-36.947040000000001</v>
      </c>
      <c r="T112" s="33">
        <v>-294.73271999999997</v>
      </c>
      <c r="U112" s="31">
        <v>0.84360000000003765</v>
      </c>
      <c r="V112" s="34" t="s">
        <v>15</v>
      </c>
      <c r="W112" s="35" t="s">
        <v>28</v>
      </c>
    </row>
    <row r="113" spans="1:26" x14ac:dyDescent="0.2">
      <c r="A113" s="29" t="s">
        <v>18</v>
      </c>
      <c r="B113" s="29">
        <v>145.06000000000003</v>
      </c>
      <c r="C113" s="31">
        <v>0.1020927460613219</v>
      </c>
      <c r="D113" s="31">
        <v>6.7036451507799834E-3</v>
      </c>
      <c r="E113" s="31">
        <v>0.14582683707864419</v>
      </c>
      <c r="F113" s="31">
        <v>6.3666600717501272E-3</v>
      </c>
      <c r="G113" s="31">
        <v>-4.3773243841305209E-2</v>
      </c>
      <c r="H113" s="29">
        <v>3.5134607881191367E-3</v>
      </c>
      <c r="I113" s="29">
        <v>0.66323096729250308</v>
      </c>
      <c r="J113" s="31">
        <v>5.3234254365441498E-2</v>
      </c>
      <c r="K113" s="31">
        <v>8.5044923408760992E-2</v>
      </c>
      <c r="L113" s="29">
        <v>5.2986742265561659</v>
      </c>
      <c r="M113" s="29">
        <v>0.15531368980388796</v>
      </c>
      <c r="N113" s="29"/>
      <c r="O113" s="29"/>
      <c r="P113" s="32"/>
      <c r="Q113" s="31"/>
      <c r="R113" s="31"/>
      <c r="S113" s="29">
        <v>-37.244399999999999</v>
      </c>
      <c r="T113" s="33">
        <v>-297.20621999999997</v>
      </c>
      <c r="U113" s="31">
        <v>0.7489800000000173</v>
      </c>
      <c r="V113" s="34" t="s">
        <v>15</v>
      </c>
      <c r="W113" s="35" t="s">
        <v>28</v>
      </c>
    </row>
    <row r="114" spans="1:26" x14ac:dyDescent="0.2">
      <c r="A114" s="29" t="s">
        <v>18</v>
      </c>
      <c r="B114" s="29">
        <v>147.87000000000006</v>
      </c>
      <c r="C114" s="31">
        <v>0.10140807308323119</v>
      </c>
      <c r="D114" s="31">
        <v>4.2842380651810239E-3</v>
      </c>
      <c r="E114" s="31">
        <v>0.15101376005044465</v>
      </c>
      <c r="F114" s="31">
        <v>6.3666600717501272E-3</v>
      </c>
      <c r="G114" s="31">
        <v>-5.6341034189610895E-2</v>
      </c>
      <c r="H114" s="29">
        <v>3.5134607881191367E-3</v>
      </c>
      <c r="I114" s="29">
        <v>0.85365203317592264</v>
      </c>
      <c r="J114" s="31">
        <v>5.3234254365441498E-2</v>
      </c>
      <c r="K114" s="31">
        <v>0.10060369662839599</v>
      </c>
      <c r="L114" s="29">
        <v>5.0867243088843495</v>
      </c>
      <c r="M114" s="29">
        <v>0.15531368980388796</v>
      </c>
      <c r="N114" s="29"/>
      <c r="O114" s="29"/>
      <c r="P114" s="32"/>
      <c r="Q114" s="31"/>
      <c r="R114" s="31"/>
      <c r="S114" s="29">
        <v>-36.649679999999996</v>
      </c>
      <c r="T114" s="33">
        <v>-291.9624</v>
      </c>
      <c r="U114" s="31">
        <v>1.2350399999999695</v>
      </c>
      <c r="V114" s="34" t="s">
        <v>15</v>
      </c>
      <c r="W114" s="35" t="s">
        <v>28</v>
      </c>
    </row>
    <row r="115" spans="1:26" x14ac:dyDescent="0.2">
      <c r="A115" s="29" t="s">
        <v>18</v>
      </c>
      <c r="B115" s="29">
        <v>157.08000000000007</v>
      </c>
      <c r="C115" s="31">
        <v>9.5098800224402424E-2</v>
      </c>
      <c r="D115" s="31">
        <v>1.6663804139238807E-3</v>
      </c>
      <c r="E115" s="31">
        <v>0.14601301617389595</v>
      </c>
      <c r="F115" s="31">
        <v>6.3666600717501272E-3</v>
      </c>
      <c r="G115" s="31">
        <v>-5.2967908502621341E-2</v>
      </c>
      <c r="H115" s="29">
        <v>3.5134607881191367E-3</v>
      </c>
      <c r="I115" s="29">
        <v>0.80254406822153546</v>
      </c>
      <c r="J115" s="31">
        <v>5.3234254365441498E-2</v>
      </c>
      <c r="K115" s="31">
        <v>9.6305013640102105E-2</v>
      </c>
      <c r="L115" s="29">
        <v>5.0141926144056104</v>
      </c>
      <c r="M115" s="29">
        <v>0.15531368980388796</v>
      </c>
      <c r="N115" s="29"/>
      <c r="O115" s="29"/>
      <c r="P115" s="32"/>
      <c r="Q115" s="31"/>
      <c r="R115" s="31"/>
      <c r="S115" s="29">
        <v>-36.947040000000001</v>
      </c>
      <c r="T115" s="33">
        <v>-294.73271999999997</v>
      </c>
      <c r="U115" s="31">
        <v>0.84360000000003765</v>
      </c>
      <c r="V115" s="34" t="s">
        <v>15</v>
      </c>
      <c r="W115" s="35" t="s">
        <v>28</v>
      </c>
    </row>
    <row r="116" spans="1:26" x14ac:dyDescent="0.2">
      <c r="A116" s="29" t="s">
        <v>18</v>
      </c>
      <c r="B116" s="29">
        <v>160.29000000000005</v>
      </c>
      <c r="C116" s="31">
        <v>8.3751400532960929E-2</v>
      </c>
      <c r="D116" s="31">
        <v>1.0153902779180905E-2</v>
      </c>
      <c r="E116" s="31">
        <v>0.14943279373169638</v>
      </c>
      <c r="F116" s="31">
        <v>6.3666600717501272E-3</v>
      </c>
      <c r="G116" s="31">
        <v>-6.8080538942583146E-2</v>
      </c>
      <c r="H116" s="29">
        <v>3.5134607881191367E-3</v>
      </c>
      <c r="I116" s="29">
        <v>1.0315233173118659</v>
      </c>
      <c r="J116" s="31">
        <v>5.3234254365441498E-2</v>
      </c>
      <c r="K116" s="31">
        <v>0.11607880676258399</v>
      </c>
      <c r="L116" s="29">
        <v>5.3435036352382781</v>
      </c>
      <c r="M116" s="29">
        <v>0.15531368980388796</v>
      </c>
      <c r="N116" s="29"/>
      <c r="O116" s="29"/>
      <c r="P116" s="32"/>
      <c r="Q116" s="31"/>
      <c r="R116" s="31"/>
      <c r="S116" s="29">
        <v>-36.7604328027112</v>
      </c>
      <c r="T116" s="33">
        <v>-292.607602275587</v>
      </c>
      <c r="U116" s="31">
        <v>1.4758601461026046</v>
      </c>
      <c r="V116" s="34" t="s">
        <v>15</v>
      </c>
      <c r="W116" s="35" t="s">
        <v>28</v>
      </c>
    </row>
    <row r="117" spans="1:26" x14ac:dyDescent="0.2">
      <c r="A117" s="29" t="s">
        <v>18</v>
      </c>
      <c r="B117" s="29">
        <v>166.58000000000007</v>
      </c>
      <c r="C117" s="31">
        <v>8.3766676916674498E-2</v>
      </c>
      <c r="D117" s="31">
        <v>5.054398675302778E-3</v>
      </c>
      <c r="E117" s="31">
        <v>0.16311419952286244</v>
      </c>
      <c r="F117" s="31">
        <v>6.3666600717501272E-3</v>
      </c>
      <c r="G117" s="31">
        <v>-7.9315636915766596E-2</v>
      </c>
      <c r="H117" s="29">
        <v>3.5134607881191367E-3</v>
      </c>
      <c r="I117" s="29">
        <v>1.2017520744813119</v>
      </c>
      <c r="J117" s="31">
        <v>5.3234254365441498E-2</v>
      </c>
      <c r="K117" s="31">
        <v>0.13143807029565599</v>
      </c>
      <c r="L117" s="29">
        <v>6.3597946769591296</v>
      </c>
      <c r="M117" s="29">
        <v>0.15531368980388796</v>
      </c>
      <c r="N117" s="29"/>
      <c r="O117" s="29"/>
      <c r="P117" s="32"/>
      <c r="Q117" s="31"/>
      <c r="R117" s="31"/>
      <c r="S117" s="29">
        <v>-37.195096098053902</v>
      </c>
      <c r="T117" s="33">
        <v>-294.18157111833398</v>
      </c>
      <c r="U117" s="31">
        <v>3.3791976660972409</v>
      </c>
      <c r="V117" s="34" t="s">
        <v>15</v>
      </c>
      <c r="W117" s="35" t="s">
        <v>28</v>
      </c>
    </row>
    <row r="118" spans="1:26" x14ac:dyDescent="0.2">
      <c r="A118" s="29" t="s">
        <v>18</v>
      </c>
      <c r="B118" s="29">
        <v>177.31000000000006</v>
      </c>
      <c r="C118" s="31">
        <v>9.4372167398937279E-2</v>
      </c>
      <c r="D118" s="31">
        <v>3.8639230476010286E-3</v>
      </c>
      <c r="E118" s="31">
        <v>0.15129845041328416</v>
      </c>
      <c r="F118" s="31">
        <v>6.3666600717501272E-3</v>
      </c>
      <c r="G118" s="31">
        <v>-6.2316018972330411E-2</v>
      </c>
      <c r="H118" s="29">
        <v>3.5134607881191367E-3</v>
      </c>
      <c r="I118" s="29">
        <v>0.94418210564136984</v>
      </c>
      <c r="J118" s="31">
        <v>5.3234254365441498E-2</v>
      </c>
      <c r="K118" s="31">
        <v>0.108391348012552</v>
      </c>
      <c r="L118" s="29">
        <v>5.6722068738834786</v>
      </c>
      <c r="M118" s="29">
        <v>0.15531368980388796</v>
      </c>
      <c r="N118" s="29"/>
      <c r="O118" s="29"/>
      <c r="P118" s="32"/>
      <c r="Q118" s="31"/>
      <c r="R118" s="31"/>
      <c r="S118" s="29">
        <v>-36.797364978132499</v>
      </c>
      <c r="T118" s="33">
        <v>-292.219096990926</v>
      </c>
      <c r="U118" s="31">
        <v>2.1598228341339905</v>
      </c>
      <c r="V118" s="34" t="s">
        <v>15</v>
      </c>
      <c r="W118" s="35" t="s">
        <v>28</v>
      </c>
    </row>
    <row r="119" spans="1:26" x14ac:dyDescent="0.2">
      <c r="A119" s="29" t="s">
        <v>18</v>
      </c>
      <c r="B119" s="29">
        <v>184.2000000000001</v>
      </c>
      <c r="C119" s="31">
        <v>-4.117199928654891E-3</v>
      </c>
      <c r="D119" s="31">
        <v>3.3763268824143866E-3</v>
      </c>
      <c r="E119" s="31">
        <v>0.15381078644050028</v>
      </c>
      <c r="F119" s="31">
        <v>6.3666600717501272E-3</v>
      </c>
      <c r="G119" s="31">
        <v>-0.16906383560066907</v>
      </c>
      <c r="H119" s="29">
        <v>3.5134607881191367E-3</v>
      </c>
      <c r="I119" s="29">
        <v>2.5615732666768039</v>
      </c>
      <c r="J119" s="31">
        <v>5.3234254365441498E-2</v>
      </c>
      <c r="K119" s="31">
        <v>0.26163039166613899</v>
      </c>
      <c r="L119" s="29">
        <v>7.5952369069502979</v>
      </c>
      <c r="M119" s="29">
        <v>0.15531368980388796</v>
      </c>
      <c r="N119" s="4">
        <v>-0.11318658605019571</v>
      </c>
      <c r="O119" s="31">
        <v>0.18</v>
      </c>
      <c r="P119" s="32"/>
      <c r="Q119" s="31"/>
      <c r="R119" s="31"/>
      <c r="S119" s="29">
        <v>-35.857961952032497</v>
      </c>
      <c r="T119" s="33">
        <v>-283.38226407356098</v>
      </c>
      <c r="U119" s="31">
        <v>3.4814315426989992</v>
      </c>
      <c r="V119" s="34" t="s">
        <v>15</v>
      </c>
      <c r="W119" s="35" t="s">
        <v>28</v>
      </c>
    </row>
    <row r="120" spans="1:26" x14ac:dyDescent="0.2">
      <c r="A120" s="29" t="s">
        <v>18</v>
      </c>
      <c r="B120" s="29">
        <v>192.08</v>
      </c>
      <c r="C120" s="31">
        <v>-3.3560992230063924E-2</v>
      </c>
      <c r="D120" s="31">
        <v>5.1815400692808026E-3</v>
      </c>
      <c r="E120" s="31">
        <v>0.13606434762625241</v>
      </c>
      <c r="F120" s="31">
        <v>5.5387577829557437E-3</v>
      </c>
      <c r="G120" s="31">
        <v>-0.16999504274295418</v>
      </c>
      <c r="H120" s="29">
        <v>3.91664196483854E-3</v>
      </c>
      <c r="I120" s="29">
        <v>2.5756824658023363</v>
      </c>
      <c r="J120" s="31">
        <v>5.93430600733112E-2</v>
      </c>
      <c r="K120" s="31">
        <v>0.26431609944398099</v>
      </c>
      <c r="L120" s="29">
        <v>7.1388400073701952</v>
      </c>
      <c r="M120" s="29">
        <v>0.17940999860929752</v>
      </c>
      <c r="N120" s="4">
        <v>0.47453441708311672</v>
      </c>
      <c r="O120" s="31">
        <v>0.18</v>
      </c>
      <c r="P120" s="32"/>
      <c r="Q120" s="31"/>
      <c r="R120" s="31"/>
      <c r="S120" s="29">
        <v>-35.7652120997192</v>
      </c>
      <c r="T120" s="33">
        <v>-282.31443441285802</v>
      </c>
      <c r="U120" s="31">
        <v>3.80726238489558</v>
      </c>
      <c r="V120" s="34" t="s">
        <v>15</v>
      </c>
      <c r="W120" s="35" t="s">
        <v>28</v>
      </c>
    </row>
    <row r="121" spans="1:26" x14ac:dyDescent="0.2">
      <c r="A121" s="29" t="s">
        <v>18</v>
      </c>
      <c r="B121" s="29">
        <v>200.92</v>
      </c>
      <c r="C121" s="31">
        <v>9.2421684865451326E-2</v>
      </c>
      <c r="D121" s="31">
        <v>2.4956072966748684E-2</v>
      </c>
      <c r="E121" s="31">
        <v>0.32762788903606399</v>
      </c>
      <c r="F121" s="31">
        <v>1.9550439265508975E-2</v>
      </c>
      <c r="G121" s="31">
        <v>-0.24437945712263431</v>
      </c>
      <c r="H121" s="29">
        <v>2.2783215985404139E-2</v>
      </c>
      <c r="I121" s="29">
        <v>3.7027190473126406</v>
      </c>
      <c r="J121" s="29" t="s">
        <v>19</v>
      </c>
      <c r="K121" s="31">
        <v>0.50622573092484402</v>
      </c>
      <c r="L121" s="29">
        <v>13.998428161524412</v>
      </c>
      <c r="M121" s="29" t="s">
        <v>13</v>
      </c>
      <c r="N121" s="4">
        <v>-82.699365019412767</v>
      </c>
      <c r="O121" s="29" t="s">
        <v>13</v>
      </c>
      <c r="P121" s="32">
        <v>9.65</v>
      </c>
      <c r="Q121" s="31"/>
      <c r="R121" s="31"/>
      <c r="S121" s="29">
        <v>-34.214006656357597</v>
      </c>
      <c r="T121" s="33">
        <v>-270.44285334580098</v>
      </c>
      <c r="U121" s="31">
        <v>3.2691999050597929</v>
      </c>
      <c r="V121" s="34" t="s">
        <v>15</v>
      </c>
      <c r="W121" s="35" t="s">
        <v>28</v>
      </c>
      <c r="X121" s="23" t="s">
        <v>48</v>
      </c>
      <c r="Z121" s="23" t="s">
        <v>84</v>
      </c>
    </row>
    <row r="122" spans="1:26" x14ac:dyDescent="0.2">
      <c r="A122" s="29" t="s">
        <v>18</v>
      </c>
      <c r="B122" s="29">
        <v>202.4</v>
      </c>
      <c r="C122" s="31">
        <v>0.13227145258776218</v>
      </c>
      <c r="D122" s="31">
        <v>5.1815400692808026E-3</v>
      </c>
      <c r="E122" s="31">
        <v>0.43064759618149928</v>
      </c>
      <c r="F122" s="31">
        <v>5.5387577829557437E-3</v>
      </c>
      <c r="G122" s="31">
        <v>-0.30015703604446831</v>
      </c>
      <c r="H122" s="29">
        <v>3.91664196483854E-3</v>
      </c>
      <c r="I122" s="29">
        <v>4.5478338794616402</v>
      </c>
      <c r="J122" s="31">
        <v>5.93430600733112E-2</v>
      </c>
      <c r="K122" s="31">
        <v>0.45863877804941</v>
      </c>
      <c r="L122" s="29">
        <v>66.122243281646846</v>
      </c>
      <c r="M122" s="29">
        <v>0.17940999860929752</v>
      </c>
      <c r="N122" s="4">
        <v>-36.692458938911265</v>
      </c>
      <c r="O122" s="31">
        <v>0.18</v>
      </c>
      <c r="P122" s="32"/>
      <c r="Q122" s="31"/>
      <c r="R122" s="31"/>
      <c r="S122" s="29">
        <v>-33.682704091746203</v>
      </c>
      <c r="T122" s="33">
        <v>-265.24019942912099</v>
      </c>
      <c r="U122" s="31">
        <v>4.221433304848631</v>
      </c>
      <c r="V122" s="34" t="s">
        <v>15</v>
      </c>
      <c r="W122" s="35" t="s">
        <v>28</v>
      </c>
      <c r="X122" s="23" t="s">
        <v>48</v>
      </c>
    </row>
    <row r="123" spans="1:26" x14ac:dyDescent="0.2">
      <c r="A123" s="29" t="s">
        <v>18</v>
      </c>
      <c r="B123" s="29">
        <v>203.27</v>
      </c>
      <c r="C123" s="31">
        <v>9.3853206201144346E-2</v>
      </c>
      <c r="D123" s="31">
        <v>5.1815400692808026E-3</v>
      </c>
      <c r="E123" s="31">
        <v>0.37559974792134021</v>
      </c>
      <c r="F123" s="31">
        <v>5.5387577829557437E-3</v>
      </c>
      <c r="G123" s="31">
        <v>-0.28508691584061552</v>
      </c>
      <c r="H123" s="29">
        <v>3.91664196483854E-3</v>
      </c>
      <c r="I123" s="29">
        <v>4.3194987248578105</v>
      </c>
      <c r="J123" s="31">
        <v>5.93430600733112E-2</v>
      </c>
      <c r="K123" s="31">
        <v>0.43600721452671798</v>
      </c>
      <c r="L123" s="29">
        <v>48.6893288017054</v>
      </c>
      <c r="M123" s="29">
        <v>0.17940999860929752</v>
      </c>
      <c r="N123" s="4">
        <v>-28.116272096510798</v>
      </c>
      <c r="O123" s="31">
        <v>0.18</v>
      </c>
      <c r="P123" s="32"/>
      <c r="Q123" s="31"/>
      <c r="R123" s="31"/>
      <c r="S123" s="29">
        <v>-33.7593725872077</v>
      </c>
      <c r="T123" s="33">
        <v>-266.01087128575602</v>
      </c>
      <c r="U123" s="31">
        <v>4.0641094119055765</v>
      </c>
      <c r="V123" s="34" t="s">
        <v>15</v>
      </c>
      <c r="W123" s="35" t="s">
        <v>28</v>
      </c>
      <c r="X123" s="23" t="s">
        <v>48</v>
      </c>
    </row>
    <row r="124" spans="1:26" x14ac:dyDescent="0.2">
      <c r="A124" s="29" t="s">
        <v>18</v>
      </c>
      <c r="B124" s="29">
        <v>203.44</v>
      </c>
      <c r="C124" s="31">
        <v>9.0690735850662563E-2</v>
      </c>
      <c r="D124" s="31">
        <v>5.1815400692808026E-3</v>
      </c>
      <c r="E124" s="31">
        <v>0.38193968994915117</v>
      </c>
      <c r="F124" s="31">
        <v>5.5387577829557437E-3</v>
      </c>
      <c r="G124" s="31">
        <v>-0.28861059528273447</v>
      </c>
      <c r="H124" s="29">
        <v>3.91664196483854E-3</v>
      </c>
      <c r="I124" s="29">
        <v>4.372887807314159</v>
      </c>
      <c r="J124" s="31">
        <v>5.93430600733112E-2</v>
      </c>
      <c r="K124" s="31">
        <v>0.44129703888926403</v>
      </c>
      <c r="L124" s="29">
        <v>46.144947714241489</v>
      </c>
      <c r="M124" s="29">
        <v>0.17940999860929752</v>
      </c>
      <c r="N124" s="4">
        <v>-26.420045844403496</v>
      </c>
      <c r="O124" s="31">
        <v>0.18</v>
      </c>
      <c r="P124" s="32"/>
      <c r="Q124" s="31"/>
      <c r="R124" s="31"/>
      <c r="S124" s="29">
        <v>-33.773747930106701</v>
      </c>
      <c r="T124" s="33">
        <v>-266.17078569600699</v>
      </c>
      <c r="U124" s="31">
        <v>4.0191977448466218</v>
      </c>
      <c r="V124" s="34" t="s">
        <v>15</v>
      </c>
      <c r="W124" s="35" t="s">
        <v>28</v>
      </c>
      <c r="X124" s="23" t="s">
        <v>48</v>
      </c>
    </row>
    <row r="125" spans="1:26" x14ac:dyDescent="0.2">
      <c r="A125" s="29" t="s">
        <v>18</v>
      </c>
      <c r="B125" s="29">
        <v>204.03</v>
      </c>
      <c r="C125" s="31">
        <v>0.1960388694566273</v>
      </c>
      <c r="D125" s="31">
        <v>5.1815400692808026E-3</v>
      </c>
      <c r="E125" s="31">
        <v>0.50340349986455202</v>
      </c>
      <c r="F125" s="31">
        <v>5.5387577829557437E-3</v>
      </c>
      <c r="G125" s="31">
        <v>-0.30532638016633751</v>
      </c>
      <c r="H125" s="29">
        <v>3.91664196483854E-3</v>
      </c>
      <c r="I125" s="29">
        <v>4.6261572752475377</v>
      </c>
      <c r="J125" s="31">
        <v>5.93430600733112E-2</v>
      </c>
      <c r="K125" s="31">
        <v>0.46640637874295998</v>
      </c>
      <c r="L125" s="29">
        <v>58.102706467759724</v>
      </c>
      <c r="M125" s="29">
        <v>0.17940999860929752</v>
      </c>
      <c r="N125" s="4">
        <v>-38.574309625363789</v>
      </c>
      <c r="O125" s="31">
        <v>0.18</v>
      </c>
      <c r="P125" s="32"/>
      <c r="Q125" s="31"/>
      <c r="R125" s="31"/>
      <c r="S125" s="29">
        <v>-33.506366552184701</v>
      </c>
      <c r="T125" s="33">
        <v>-263.65454208409602</v>
      </c>
      <c r="U125" s="31">
        <v>4.3963903333815892</v>
      </c>
      <c r="V125" s="34" t="s">
        <v>15</v>
      </c>
      <c r="W125" s="35" t="s">
        <v>28</v>
      </c>
      <c r="X125" s="23" t="s">
        <v>48</v>
      </c>
    </row>
    <row r="126" spans="1:26" x14ac:dyDescent="0.2">
      <c r="A126" s="29" t="s">
        <v>18</v>
      </c>
      <c r="B126" s="29">
        <v>204.67</v>
      </c>
      <c r="C126" s="31">
        <v>0.37730913619893336</v>
      </c>
      <c r="D126" s="31">
        <v>1.3940859476180062E-2</v>
      </c>
      <c r="E126" s="31">
        <v>0.7682381182363418</v>
      </c>
      <c r="F126" s="31">
        <v>2.6844183233282446E-2</v>
      </c>
      <c r="G126" s="31">
        <v>-0.35159249475158472</v>
      </c>
      <c r="H126" s="29">
        <v>4.0125177240471821E-2</v>
      </c>
      <c r="I126" s="29">
        <v>5.3271590113876464</v>
      </c>
      <c r="J126" s="29" t="s">
        <v>19</v>
      </c>
      <c r="K126" s="29" t="s">
        <v>13</v>
      </c>
      <c r="L126" s="29">
        <v>80.16614747363549</v>
      </c>
      <c r="M126" s="29" t="s">
        <v>13</v>
      </c>
      <c r="N126" s="4">
        <v>-112.13608192787383</v>
      </c>
      <c r="O126" s="29" t="s">
        <v>13</v>
      </c>
      <c r="P126" s="32">
        <v>8.43</v>
      </c>
      <c r="Q126" s="31"/>
      <c r="R126" s="31"/>
      <c r="S126" s="29">
        <v>-32.8105839903494</v>
      </c>
      <c r="T126" s="33">
        <v>-258.20921138699902</v>
      </c>
      <c r="U126" s="31">
        <v>4.275460535796185</v>
      </c>
      <c r="V126" s="34" t="s">
        <v>15</v>
      </c>
      <c r="W126" s="35" t="s">
        <v>28</v>
      </c>
      <c r="X126" s="23" t="s">
        <v>48</v>
      </c>
      <c r="Z126" s="23" t="s">
        <v>84</v>
      </c>
    </row>
    <row r="127" spans="1:26" x14ac:dyDescent="0.2">
      <c r="A127" s="29" t="s">
        <v>18</v>
      </c>
      <c r="B127" s="29">
        <v>204.98</v>
      </c>
      <c r="C127" s="31">
        <v>0.62101936280734016</v>
      </c>
      <c r="D127" s="31">
        <v>3.0714925246405008E-2</v>
      </c>
      <c r="E127" s="31">
        <v>0.94629638617149681</v>
      </c>
      <c r="F127" s="31">
        <v>2.227235715850797E-2</v>
      </c>
      <c r="G127" s="31">
        <v>-0.37545209301104165</v>
      </c>
      <c r="H127" s="29">
        <v>3.1178660408888646E-2</v>
      </c>
      <c r="I127" s="29">
        <v>5.6886680759248733</v>
      </c>
      <c r="J127" s="29" t="s">
        <v>19</v>
      </c>
      <c r="K127" s="29" t="s">
        <v>13</v>
      </c>
      <c r="L127" s="29">
        <v>117.24467344222921</v>
      </c>
      <c r="M127" s="37" t="s">
        <v>13</v>
      </c>
      <c r="N127" s="4">
        <v>-124.03648396973466</v>
      </c>
      <c r="O127" s="29" t="s">
        <v>13</v>
      </c>
      <c r="P127" s="32">
        <v>7.98</v>
      </c>
      <c r="Q127" s="31"/>
      <c r="R127" s="31"/>
      <c r="S127" s="29">
        <v>-32.481035348128799</v>
      </c>
      <c r="T127" s="33">
        <v>-255.92567421260901</v>
      </c>
      <c r="U127" s="31">
        <v>3.9226085724213817</v>
      </c>
      <c r="V127" s="34" t="s">
        <v>15</v>
      </c>
      <c r="W127" s="35" t="s">
        <v>28</v>
      </c>
      <c r="X127" s="23" t="s">
        <v>48</v>
      </c>
      <c r="Z127" s="23" t="s">
        <v>84</v>
      </c>
    </row>
    <row r="128" spans="1:26" x14ac:dyDescent="0.2">
      <c r="A128" s="29" t="s">
        <v>18</v>
      </c>
      <c r="B128" s="29">
        <v>205.45</v>
      </c>
      <c r="C128" s="31">
        <v>1.2205749511708941</v>
      </c>
      <c r="D128" s="31">
        <v>1.256242498441079E-2</v>
      </c>
      <c r="E128" s="31">
        <v>1.633125359338683</v>
      </c>
      <c r="F128" s="31">
        <v>2.4631483301053796E-2</v>
      </c>
      <c r="G128" s="31">
        <v>-0.39547140489226695</v>
      </c>
      <c r="H128" s="29">
        <v>2.424397949505816E-2</v>
      </c>
      <c r="I128" s="29">
        <v>5.9919909832161657</v>
      </c>
      <c r="J128" s="29" t="s">
        <v>19</v>
      </c>
      <c r="K128" s="29" t="s">
        <v>13</v>
      </c>
      <c r="L128" s="29" t="s">
        <v>13</v>
      </c>
      <c r="M128" s="37" t="s">
        <v>13</v>
      </c>
      <c r="N128" s="29" t="s">
        <v>13</v>
      </c>
      <c r="O128" s="29" t="s">
        <v>13</v>
      </c>
      <c r="P128" s="32">
        <v>2.2999999999999998</v>
      </c>
      <c r="Q128" s="31"/>
      <c r="R128" s="31"/>
      <c r="S128" s="29">
        <v>-29.500892885289499</v>
      </c>
      <c r="T128" s="33">
        <v>-231.11357998123299</v>
      </c>
      <c r="U128" s="31">
        <v>4.8935631010830036</v>
      </c>
      <c r="V128" s="34" t="s">
        <v>15</v>
      </c>
      <c r="W128" s="35" t="s">
        <v>28</v>
      </c>
      <c r="X128" s="23" t="s">
        <v>48</v>
      </c>
      <c r="Z128" s="23" t="s">
        <v>84</v>
      </c>
    </row>
    <row r="129" spans="1:24" x14ac:dyDescent="0.2">
      <c r="A129" s="29" t="s">
        <v>18</v>
      </c>
      <c r="B129" s="29">
        <v>206.36</v>
      </c>
      <c r="C129" s="29" t="s">
        <v>13</v>
      </c>
      <c r="D129" s="29" t="s">
        <v>13</v>
      </c>
      <c r="E129" s="29" t="s">
        <v>13</v>
      </c>
      <c r="F129" s="29" t="s">
        <v>13</v>
      </c>
      <c r="G129" s="29" t="s">
        <v>20</v>
      </c>
      <c r="H129" s="29" t="s">
        <v>20</v>
      </c>
      <c r="I129" s="29"/>
      <c r="J129" s="29" t="s">
        <v>13</v>
      </c>
      <c r="K129" s="29" t="s">
        <v>13</v>
      </c>
      <c r="L129" s="29" t="s">
        <v>13</v>
      </c>
      <c r="M129" s="29" t="s">
        <v>13</v>
      </c>
      <c r="N129" s="29" t="s">
        <v>13</v>
      </c>
      <c r="O129" s="29" t="s">
        <v>13</v>
      </c>
      <c r="P129" s="32">
        <v>0</v>
      </c>
      <c r="Q129" s="31"/>
      <c r="R129" s="31"/>
      <c r="S129" s="29">
        <v>-25.458091241113799</v>
      </c>
      <c r="T129" s="33">
        <v>-193.271971437133</v>
      </c>
      <c r="U129" s="31">
        <v>10.392758491777386</v>
      </c>
      <c r="V129" s="34" t="s">
        <v>15</v>
      </c>
      <c r="W129" s="35" t="s">
        <v>28</v>
      </c>
      <c r="X129" s="23" t="s">
        <v>49</v>
      </c>
    </row>
    <row r="130" spans="1:24" x14ac:dyDescent="0.2">
      <c r="A130" s="29" t="s">
        <v>21</v>
      </c>
      <c r="B130" s="29">
        <v>77.47</v>
      </c>
      <c r="C130" s="31">
        <v>0.29485098658299513</v>
      </c>
      <c r="D130" s="31">
        <v>3.4946303294969205E-3</v>
      </c>
      <c r="E130" s="31">
        <v>0.29418715125917316</v>
      </c>
      <c r="F130" s="31">
        <v>4.783251309056504E-3</v>
      </c>
      <c r="G130" s="31">
        <v>-7.0647024368875044E-3</v>
      </c>
      <c r="H130" s="29">
        <v>4.1175762048287811E-3</v>
      </c>
      <c r="I130" s="29">
        <v>0.10704094601344703</v>
      </c>
      <c r="J130" s="31">
        <v>6.2387518254981504E-2</v>
      </c>
      <c r="K130" s="31">
        <v>6.32991317100811E-2</v>
      </c>
      <c r="L130" s="29">
        <v>2.5911555477533543</v>
      </c>
      <c r="M130" s="29">
        <v>0.16101902836949317</v>
      </c>
      <c r="N130" s="29"/>
      <c r="O130" s="29"/>
      <c r="P130" s="32"/>
      <c r="Q130" s="31"/>
      <c r="R130" s="31"/>
      <c r="S130" s="29">
        <v>-37.070022179562599</v>
      </c>
      <c r="T130" s="33">
        <v>-293.52214105391698</v>
      </c>
      <c r="U130" s="31">
        <v>3.0380363825838117</v>
      </c>
      <c r="V130" s="34" t="s">
        <v>14</v>
      </c>
      <c r="W130" s="35" t="s">
        <v>28</v>
      </c>
      <c r="X130" s="36"/>
    </row>
    <row r="131" spans="1:24" x14ac:dyDescent="0.2">
      <c r="A131" s="29" t="s">
        <v>21</v>
      </c>
      <c r="B131" s="29">
        <v>77.47</v>
      </c>
      <c r="C131" s="31">
        <v>0.29599375967981345</v>
      </c>
      <c r="D131" s="31">
        <v>5.3945466973199258E-3</v>
      </c>
      <c r="E131" s="31">
        <v>0.30703229283224331</v>
      </c>
      <c r="F131" s="31">
        <v>4.771816997302912E-3</v>
      </c>
      <c r="G131" s="31">
        <v>-1.0648430019299937E-2</v>
      </c>
      <c r="H131" s="29">
        <v>4.0807134519624741E-3</v>
      </c>
      <c r="I131" s="29">
        <v>0.16133984877727175</v>
      </c>
      <c r="J131" s="31">
        <v>6.1828991696401096E-2</v>
      </c>
      <c r="K131" s="31">
        <v>6.3899371532342694E-2</v>
      </c>
      <c r="L131" s="29">
        <v>1.268448824276458</v>
      </c>
      <c r="M131" s="29">
        <v>0.12027498767187154</v>
      </c>
      <c r="N131" s="29"/>
      <c r="O131" s="29"/>
      <c r="P131" s="32"/>
      <c r="Q131" s="31"/>
      <c r="R131" s="31"/>
      <c r="S131" s="29"/>
      <c r="T131" s="29"/>
      <c r="U131" s="29" t="s">
        <v>13</v>
      </c>
      <c r="V131" s="34" t="s">
        <v>14</v>
      </c>
      <c r="W131" s="35" t="s">
        <v>28</v>
      </c>
      <c r="X131" s="36"/>
    </row>
    <row r="132" spans="1:24" x14ac:dyDescent="0.2">
      <c r="A132" s="29" t="s">
        <v>21</v>
      </c>
      <c r="B132" s="29">
        <v>112.81</v>
      </c>
      <c r="C132" s="31">
        <v>0.30771689586273077</v>
      </c>
      <c r="D132" s="31">
        <v>3.4946303294969205E-3</v>
      </c>
      <c r="E132" s="31">
        <v>0.31296348960951903</v>
      </c>
      <c r="F132" s="31">
        <v>4.783251309056504E-3</v>
      </c>
      <c r="G132" s="31">
        <v>-8.8359322606423873E-3</v>
      </c>
      <c r="H132" s="29">
        <v>4.1175762048287811E-3</v>
      </c>
      <c r="I132" s="29">
        <v>0.13387776152488465</v>
      </c>
      <c r="J132" s="31">
        <v>6.2387518254981504E-2</v>
      </c>
      <c r="K132" s="31">
        <v>6.3807797206335198E-2</v>
      </c>
      <c r="L132" s="29">
        <v>4.4215579599322652</v>
      </c>
      <c r="M132" s="29">
        <v>0.16101902836949317</v>
      </c>
      <c r="N132" s="29"/>
      <c r="O132" s="29"/>
      <c r="P132" s="32"/>
      <c r="Q132" s="31"/>
      <c r="R132" s="31"/>
      <c r="S132" s="29">
        <v>-39.056236137005001</v>
      </c>
      <c r="T132" s="33">
        <v>-312.58229251109799</v>
      </c>
      <c r="U132" s="31">
        <v>-0.13240341505797915</v>
      </c>
      <c r="V132" s="34" t="s">
        <v>14</v>
      </c>
      <c r="W132" s="35" t="s">
        <v>28</v>
      </c>
      <c r="X132" s="36"/>
    </row>
    <row r="133" spans="1:24" x14ac:dyDescent="0.2">
      <c r="A133" s="29" t="s">
        <v>21</v>
      </c>
      <c r="B133" s="29">
        <v>112.81</v>
      </c>
      <c r="C133" s="31">
        <v>0.30813292713416374</v>
      </c>
      <c r="D133" s="31">
        <v>3.4946303294969205E-3</v>
      </c>
      <c r="E133" s="31">
        <v>0.31133244753989153</v>
      </c>
      <c r="F133" s="31">
        <v>4.783251309056504E-3</v>
      </c>
      <c r="G133" s="31">
        <v>-5.5274739797495087E-3</v>
      </c>
      <c r="H133" s="29">
        <v>4.1175762048287811E-3</v>
      </c>
      <c r="I133" s="29">
        <v>8.3749605753780432E-2</v>
      </c>
      <c r="J133" s="31">
        <v>6.2387518254981504E-2</v>
      </c>
      <c r="K133" s="31">
        <v>6.2947139717820302E-2</v>
      </c>
      <c r="L133" s="29">
        <v>4.8698899848520494</v>
      </c>
      <c r="M133" s="29">
        <v>0.16101902836949317</v>
      </c>
      <c r="N133" s="29"/>
      <c r="O133" s="29"/>
      <c r="P133" s="32"/>
      <c r="Q133" s="31"/>
      <c r="R133" s="31"/>
      <c r="S133" s="29">
        <v>-39.135107587131003</v>
      </c>
      <c r="T133" s="33">
        <v>-314.44109090143701</v>
      </c>
      <c r="U133" s="31">
        <v>-1.3602302043889836</v>
      </c>
      <c r="V133" s="34" t="s">
        <v>14</v>
      </c>
      <c r="W133" s="35" t="s">
        <v>28</v>
      </c>
      <c r="X133" s="36"/>
    </row>
    <row r="134" spans="1:24" x14ac:dyDescent="0.2">
      <c r="A134" s="29" t="s">
        <v>21</v>
      </c>
      <c r="B134" s="29">
        <v>121.27</v>
      </c>
      <c r="C134" s="31">
        <v>0.31226201670020437</v>
      </c>
      <c r="D134" s="31">
        <v>3.4946303294969205E-3</v>
      </c>
      <c r="E134" s="31">
        <v>0.29282114644635371</v>
      </c>
      <c r="F134" s="31">
        <v>4.783251309056504E-3</v>
      </c>
      <c r="G134" s="31">
        <v>5.7251316912809713E-3</v>
      </c>
      <c r="H134" s="29">
        <v>4.1175762048287811E-3</v>
      </c>
      <c r="I134" s="29">
        <v>-8.6744419564863187E-2</v>
      </c>
      <c r="J134" s="31">
        <v>6.2387518254981504E-2</v>
      </c>
      <c r="K134" s="31">
        <v>6.2987684330129995E-2</v>
      </c>
      <c r="L134" s="29">
        <v>6.3518796852384263</v>
      </c>
      <c r="M134" s="29">
        <v>0.16101902836949317</v>
      </c>
      <c r="N134" s="29"/>
      <c r="O134" s="29"/>
      <c r="P134" s="32"/>
      <c r="Q134" s="31"/>
      <c r="R134" s="31"/>
      <c r="S134" s="29">
        <v>-39.091824474257002</v>
      </c>
      <c r="T134" s="33">
        <v>-315.416261441107</v>
      </c>
      <c r="U134" s="31">
        <v>-2.681665647050977</v>
      </c>
      <c r="V134" s="34" t="s">
        <v>14</v>
      </c>
      <c r="W134" s="35" t="s">
        <v>28</v>
      </c>
      <c r="X134" s="36"/>
    </row>
    <row r="135" spans="1:24" x14ac:dyDescent="0.2">
      <c r="A135" s="29" t="s">
        <v>21</v>
      </c>
      <c r="B135" s="29">
        <v>121.27</v>
      </c>
      <c r="C135" s="31">
        <v>0.30272892531613138</v>
      </c>
      <c r="D135" s="31">
        <v>3.4946303294969205E-3</v>
      </c>
      <c r="E135" s="31">
        <v>0.30242144813374949</v>
      </c>
      <c r="F135" s="31">
        <v>4.783251309056504E-3</v>
      </c>
      <c r="G135" s="31">
        <v>-9.5490213181670391E-3</v>
      </c>
      <c r="H135" s="29">
        <v>4.1175762048287811E-3</v>
      </c>
      <c r="I135" s="29">
        <v>0.14468214118434905</v>
      </c>
      <c r="J135" s="31">
        <v>6.2387518254981504E-2</v>
      </c>
      <c r="K135" s="31">
        <v>6.40432014642658E-2</v>
      </c>
      <c r="L135" s="29">
        <v>6.4658686548020317</v>
      </c>
      <c r="M135" s="29">
        <v>0.16101902836949317</v>
      </c>
      <c r="N135" s="29"/>
      <c r="O135" s="29"/>
      <c r="P135" s="32"/>
      <c r="Q135" s="31"/>
      <c r="R135" s="31"/>
      <c r="S135" s="29">
        <v>-39.358256080170598</v>
      </c>
      <c r="T135" s="33">
        <v>-317.21242536002399</v>
      </c>
      <c r="U135" s="31">
        <v>-2.3463767186592008</v>
      </c>
      <c r="V135" s="34" t="s">
        <v>14</v>
      </c>
      <c r="W135" s="35" t="s">
        <v>28</v>
      </c>
      <c r="X135" s="36"/>
    </row>
    <row r="136" spans="1:24" x14ac:dyDescent="0.2">
      <c r="A136" s="29" t="s">
        <v>21</v>
      </c>
      <c r="B136" s="29">
        <v>130.88999999999999</v>
      </c>
      <c r="C136" s="31">
        <v>0.20057542617402113</v>
      </c>
      <c r="D136" s="31">
        <v>3.4946303294969205E-3</v>
      </c>
      <c r="E136" s="31">
        <v>0.2110180579788512</v>
      </c>
      <c r="F136" s="31">
        <v>4.783251309056504E-3</v>
      </c>
      <c r="G136" s="31">
        <v>-1.0778744388706407E-2</v>
      </c>
      <c r="H136" s="29">
        <v>4.1175762048287811E-3</v>
      </c>
      <c r="I136" s="29">
        <v>0.16331430891979404</v>
      </c>
      <c r="J136" s="31">
        <v>6.2387518254981504E-2</v>
      </c>
      <c r="K136" s="31">
        <v>6.4489674126910798E-2</v>
      </c>
      <c r="L136" s="29">
        <v>4.8907906630561993</v>
      </c>
      <c r="M136" s="29">
        <v>0.16101902836949317</v>
      </c>
      <c r="N136" s="29"/>
      <c r="O136" s="29"/>
      <c r="P136" s="32"/>
      <c r="Q136" s="31"/>
      <c r="R136" s="31"/>
      <c r="S136" s="29">
        <v>-41.184803443455401</v>
      </c>
      <c r="T136" s="33">
        <v>-336.25908631566898</v>
      </c>
      <c r="U136" s="31">
        <v>-6.7806587680257735</v>
      </c>
      <c r="V136" s="34" t="s">
        <v>14</v>
      </c>
      <c r="W136" s="35" t="s">
        <v>28</v>
      </c>
      <c r="X136" s="36"/>
    </row>
    <row r="137" spans="1:24" x14ac:dyDescent="0.2">
      <c r="A137" s="29" t="s">
        <v>21</v>
      </c>
      <c r="B137" s="29">
        <v>134.99</v>
      </c>
      <c r="C137" s="31">
        <v>0.16248862526779817</v>
      </c>
      <c r="D137" s="31">
        <v>3.4946303294969205E-3</v>
      </c>
      <c r="E137" s="31">
        <v>0.17784937252862676</v>
      </c>
      <c r="F137" s="31">
        <v>4.783251309056504E-3</v>
      </c>
      <c r="G137" s="31">
        <v>-1.4307395652335408E-2</v>
      </c>
      <c r="H137" s="29">
        <v>4.1175762048287811E-3</v>
      </c>
      <c r="I137" s="29">
        <v>0.21677872200508194</v>
      </c>
      <c r="J137" s="31">
        <v>6.2387518254981504E-2</v>
      </c>
      <c r="K137" s="31">
        <v>6.6046442577607611E-2</v>
      </c>
      <c r="L137" s="29">
        <v>5.5536056752170104</v>
      </c>
      <c r="M137" s="29">
        <v>0.16101902836949317</v>
      </c>
      <c r="N137" s="29"/>
      <c r="O137" s="29"/>
      <c r="P137" s="32"/>
      <c r="Q137" s="31"/>
      <c r="R137" s="31"/>
      <c r="S137" s="29">
        <v>-42.452517727188599</v>
      </c>
      <c r="T137" s="33">
        <v>-345.05778413950702</v>
      </c>
      <c r="U137" s="31">
        <v>-5.4376423219982257</v>
      </c>
      <c r="V137" s="34" t="s">
        <v>14</v>
      </c>
      <c r="W137" s="35" t="s">
        <v>28</v>
      </c>
      <c r="X137" s="36"/>
    </row>
    <row r="138" spans="1:24" x14ac:dyDescent="0.2">
      <c r="A138" s="29" t="s">
        <v>21</v>
      </c>
      <c r="B138" s="29">
        <v>134.99</v>
      </c>
      <c r="C138" s="31">
        <v>0.16964840707833773</v>
      </c>
      <c r="D138" s="31">
        <v>5.3945466973199258E-3</v>
      </c>
      <c r="E138" s="31">
        <v>0.17775586193602422</v>
      </c>
      <c r="F138" s="31">
        <v>4.771816997302912E-3</v>
      </c>
      <c r="G138" s="31">
        <v>-8.2272889753154388E-3</v>
      </c>
      <c r="H138" s="29">
        <v>4.0807134519624741E-3</v>
      </c>
      <c r="I138" s="29">
        <v>0.12465589356538542</v>
      </c>
      <c r="J138" s="31">
        <v>6.1828991696401096E-2</v>
      </c>
      <c r="K138" s="31">
        <v>6.3073093567697205E-2</v>
      </c>
      <c r="L138" s="29">
        <v>5.8497036424176585</v>
      </c>
      <c r="M138" s="29">
        <v>0.12027498767187154</v>
      </c>
      <c r="N138" s="29"/>
      <c r="O138" s="29"/>
      <c r="P138" s="32"/>
      <c r="Q138" s="31"/>
      <c r="R138" s="31"/>
      <c r="S138" s="29"/>
      <c r="T138" s="29"/>
      <c r="U138" s="29" t="s">
        <v>13</v>
      </c>
      <c r="V138" s="34" t="s">
        <v>14</v>
      </c>
      <c r="W138" s="35" t="s">
        <v>28</v>
      </c>
      <c r="X138" s="36"/>
    </row>
    <row r="139" spans="1:24" x14ac:dyDescent="0.2">
      <c r="A139" s="29" t="s">
        <v>21</v>
      </c>
      <c r="B139" s="29">
        <v>136.72</v>
      </c>
      <c r="C139" s="31">
        <v>0.17509466749898728</v>
      </c>
      <c r="D139" s="31">
        <v>3.4946303294969205E-3</v>
      </c>
      <c r="E139" s="31">
        <v>0.18000338677581773</v>
      </c>
      <c r="F139" s="31">
        <v>4.783251309056504E-3</v>
      </c>
      <c r="G139" s="31">
        <v>-4.18103109461887E-3</v>
      </c>
      <c r="H139" s="29">
        <v>4.1175762048287811E-3</v>
      </c>
      <c r="I139" s="29">
        <v>6.3348955979073779E-2</v>
      </c>
      <c r="J139" s="31">
        <v>6.2387518254981504E-2</v>
      </c>
      <c r="K139" s="31">
        <v>6.2708319513857497E-2</v>
      </c>
      <c r="L139" s="29">
        <v>4.8884389729064726</v>
      </c>
      <c r="M139" s="29">
        <v>0.16101902836949317</v>
      </c>
      <c r="N139" s="29"/>
      <c r="O139" s="29"/>
      <c r="P139" s="32"/>
      <c r="Q139" s="31"/>
      <c r="R139" s="31"/>
      <c r="S139" s="29">
        <v>-41.561847448936</v>
      </c>
      <c r="T139" s="33">
        <v>-337.68907947858401</v>
      </c>
      <c r="U139" s="31">
        <v>-5.1942998870960082</v>
      </c>
      <c r="V139" s="34" t="s">
        <v>14</v>
      </c>
      <c r="W139" s="35" t="s">
        <v>28</v>
      </c>
      <c r="X139" s="36"/>
    </row>
    <row r="140" spans="1:24" x14ac:dyDescent="0.2">
      <c r="A140" s="29" t="s">
        <v>21</v>
      </c>
      <c r="B140" s="29">
        <v>136.72</v>
      </c>
      <c r="C140" s="31">
        <v>0.17471677092784077</v>
      </c>
      <c r="D140" s="31">
        <v>5.3945466973199258E-3</v>
      </c>
      <c r="E140" s="31">
        <v>0.17734785558753963</v>
      </c>
      <c r="F140" s="31">
        <v>4.771816997302912E-3</v>
      </c>
      <c r="G140" s="31">
        <v>-5.6564869100883541E-3</v>
      </c>
      <c r="H140" s="29">
        <v>4.0807134519624741E-3</v>
      </c>
      <c r="I140" s="29">
        <v>8.5704347122550817E-2</v>
      </c>
      <c r="J140" s="31">
        <v>6.1828991696401096E-2</v>
      </c>
      <c r="K140" s="31">
        <v>6.2420161529354201E-2</v>
      </c>
      <c r="L140" s="29">
        <v>4.3981244947877141</v>
      </c>
      <c r="M140" s="29">
        <v>0.12027498767187154</v>
      </c>
      <c r="N140" s="29"/>
      <c r="O140" s="29"/>
      <c r="P140" s="32"/>
      <c r="Q140" s="31"/>
      <c r="R140" s="31"/>
      <c r="S140" s="29"/>
      <c r="T140" s="29"/>
      <c r="U140" s="29" t="s">
        <v>13</v>
      </c>
      <c r="V140" s="34" t="s">
        <v>14</v>
      </c>
      <c r="W140" s="35" t="s">
        <v>28</v>
      </c>
      <c r="X140" s="36"/>
    </row>
    <row r="141" spans="1:24" x14ac:dyDescent="0.2">
      <c r="A141" s="29" t="s">
        <v>21</v>
      </c>
      <c r="B141" s="29">
        <v>138.43</v>
      </c>
      <c r="C141" s="31">
        <v>0.19778147549898151</v>
      </c>
      <c r="D141" s="31">
        <v>3.4946303294969205E-3</v>
      </c>
      <c r="E141" s="31">
        <v>0.20247441988696657</v>
      </c>
      <c r="F141" s="31">
        <v>4.783251309056504E-3</v>
      </c>
      <c r="G141" s="31">
        <v>-3.5735153910976258E-3</v>
      </c>
      <c r="H141" s="29">
        <v>4.1175762048287811E-3</v>
      </c>
      <c r="I141" s="29">
        <v>5.4144172592388268E-2</v>
      </c>
      <c r="J141" s="31">
        <v>6.2387518254981504E-2</v>
      </c>
      <c r="K141" s="31">
        <v>6.2622027660183599E-2</v>
      </c>
      <c r="L141" s="29">
        <v>5.3123595297461801</v>
      </c>
      <c r="M141" s="29">
        <v>0.16101902836949317</v>
      </c>
      <c r="N141" s="29"/>
      <c r="O141" s="29"/>
      <c r="P141" s="32"/>
      <c r="Q141" s="31"/>
      <c r="R141" s="31"/>
      <c r="S141" s="29">
        <v>-42.010068128920501</v>
      </c>
      <c r="T141" s="33">
        <v>-340.24745673433802</v>
      </c>
      <c r="U141" s="31">
        <v>-4.166911702974005</v>
      </c>
      <c r="V141" s="34" t="s">
        <v>14</v>
      </c>
      <c r="W141" s="35" t="s">
        <v>28</v>
      </c>
      <c r="X141" s="36"/>
    </row>
    <row r="142" spans="1:24" x14ac:dyDescent="0.2">
      <c r="A142" s="29" t="s">
        <v>21</v>
      </c>
      <c r="B142" s="29">
        <v>143.5</v>
      </c>
      <c r="C142" s="31">
        <v>0.2131990143892093</v>
      </c>
      <c r="D142" s="31">
        <v>3.4946303294969205E-3</v>
      </c>
      <c r="E142" s="31">
        <v>0.21641264752370049</v>
      </c>
      <c r="F142" s="31">
        <v>4.783251309056504E-3</v>
      </c>
      <c r="G142" s="31">
        <v>-5.5046203560893403E-3</v>
      </c>
      <c r="H142" s="29">
        <v>4.1175762048287811E-3</v>
      </c>
      <c r="I142" s="29">
        <v>8.3403338728626361E-2</v>
      </c>
      <c r="J142" s="31">
        <v>6.2387518254981504E-2</v>
      </c>
      <c r="K142" s="31">
        <v>6.2942542077091795E-2</v>
      </c>
      <c r="L142" s="29">
        <v>4.5262723632728541</v>
      </c>
      <c r="M142" s="29">
        <v>0.16101902836949317</v>
      </c>
      <c r="N142" s="29"/>
      <c r="O142" s="29"/>
      <c r="P142" s="32"/>
      <c r="Q142" s="31"/>
      <c r="R142" s="31"/>
      <c r="S142" s="29">
        <v>-41.925425597077997</v>
      </c>
      <c r="T142" s="33">
        <v>-340.69746132132002</v>
      </c>
      <c r="U142" s="31">
        <v>-5.2940565446960477</v>
      </c>
      <c r="V142" s="34" t="s">
        <v>14</v>
      </c>
      <c r="W142" s="35" t="s">
        <v>28</v>
      </c>
      <c r="X142" s="36"/>
    </row>
    <row r="143" spans="1:24" x14ac:dyDescent="0.2">
      <c r="N143" s="36"/>
      <c r="O143" s="36"/>
      <c r="S143" s="36"/>
    </row>
    <row r="144" spans="1:24" x14ac:dyDescent="0.2">
      <c r="X144" s="3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35D9-430B-FA4D-8D44-A9DFC2F17436}">
  <dimension ref="A1:O91"/>
  <sheetViews>
    <sheetView topLeftCell="A57" workbookViewId="0">
      <selection activeCell="B6" sqref="B6"/>
    </sheetView>
  </sheetViews>
  <sheetFormatPr baseColWidth="10" defaultRowHeight="16" x14ac:dyDescent="0.2"/>
  <cols>
    <col min="1" max="13" width="19.33203125" style="16" customWidth="1"/>
    <col min="14" max="15" width="10.6640625" style="16"/>
  </cols>
  <sheetData>
    <row r="1" spans="1:15" x14ac:dyDescent="0.2">
      <c r="A1" s="14" t="s">
        <v>0</v>
      </c>
      <c r="B1" s="14" t="s">
        <v>22</v>
      </c>
      <c r="C1" s="14" t="s">
        <v>23</v>
      </c>
      <c r="D1" s="15" t="s">
        <v>36</v>
      </c>
      <c r="E1" s="13" t="s">
        <v>37</v>
      </c>
      <c r="F1" s="13" t="s">
        <v>38</v>
      </c>
      <c r="G1" s="14" t="s">
        <v>8</v>
      </c>
      <c r="H1" s="13" t="s">
        <v>81</v>
      </c>
      <c r="I1" s="13" t="s">
        <v>78</v>
      </c>
      <c r="J1" s="13" t="s">
        <v>80</v>
      </c>
      <c r="K1" s="13" t="s">
        <v>79</v>
      </c>
      <c r="L1" s="13" t="s">
        <v>88</v>
      </c>
      <c r="M1" s="13" t="s">
        <v>89</v>
      </c>
      <c r="N1" s="16" t="s">
        <v>24</v>
      </c>
      <c r="O1" s="16" t="s">
        <v>25</v>
      </c>
    </row>
    <row r="2" spans="1:15" x14ac:dyDescent="0.2">
      <c r="A2" s="14" t="s">
        <v>34</v>
      </c>
      <c r="B2" s="14"/>
      <c r="C2" s="14">
        <v>0.14000000000000001</v>
      </c>
      <c r="D2" s="13">
        <v>-38.700000000000003</v>
      </c>
      <c r="E2" s="13">
        <v>-315.2</v>
      </c>
      <c r="F2" s="13">
        <v>-1.34</v>
      </c>
      <c r="G2" s="14" t="s">
        <v>15</v>
      </c>
      <c r="H2" s="13">
        <f>(D2+8.11)/0.8</f>
        <v>-38.237500000000004</v>
      </c>
      <c r="I2" s="13">
        <v>0</v>
      </c>
      <c r="J2" s="13">
        <f t="shared" ref="J2:J33" si="0">D2-I2</f>
        <v>-38.700000000000003</v>
      </c>
      <c r="K2" s="13">
        <f t="shared" ref="K2:K33" si="1">(J2+8.11)/0.8</f>
        <v>-38.237500000000004</v>
      </c>
      <c r="L2" s="13">
        <f>K2-K$2</f>
        <v>0</v>
      </c>
      <c r="M2" s="13">
        <f t="shared" ref="M2:M33" si="2">SQRT((((J2-J$2)/(N$2^2))*O$2)^2)</f>
        <v>0</v>
      </c>
      <c r="N2" s="16">
        <v>0.8</v>
      </c>
      <c r="O2" s="16">
        <v>0.12</v>
      </c>
    </row>
    <row r="3" spans="1:15" x14ac:dyDescent="0.2">
      <c r="A3" s="3" t="s">
        <v>12</v>
      </c>
      <c r="B3" s="2">
        <v>180.77</v>
      </c>
      <c r="C3" s="3">
        <v>0.43</v>
      </c>
      <c r="D3" s="17">
        <v>-38.5</v>
      </c>
      <c r="E3" s="17">
        <v>-309.7</v>
      </c>
      <c r="F3" s="17">
        <v>-1.6999999999999886</v>
      </c>
      <c r="G3" s="3" t="s">
        <v>15</v>
      </c>
      <c r="H3" s="17">
        <f t="shared" ref="H3:H65" si="3">(D3+8.11)/0.8</f>
        <v>-37.987499999999997</v>
      </c>
      <c r="I3" s="17">
        <v>-4.3784759999999603E-2</v>
      </c>
      <c r="J3" s="17">
        <f t="shared" si="0"/>
        <v>-38.456215239999999</v>
      </c>
      <c r="K3" s="17">
        <f t="shared" si="1"/>
        <v>-37.932769049999997</v>
      </c>
      <c r="L3" s="17">
        <f t="shared" ref="L3:L66" si="4">K3-K$2</f>
        <v>0.30473095000000683</v>
      </c>
      <c r="M3" s="17">
        <f t="shared" si="2"/>
        <v>4.5709642500000751E-2</v>
      </c>
    </row>
    <row r="4" spans="1:15" x14ac:dyDescent="0.2">
      <c r="A4" s="3" t="s">
        <v>12</v>
      </c>
      <c r="B4" s="2">
        <v>182.2</v>
      </c>
      <c r="C4" s="3">
        <v>0.5</v>
      </c>
      <c r="D4" s="17">
        <v>-38.800000000000004</v>
      </c>
      <c r="E4" s="17">
        <v>-311.7</v>
      </c>
      <c r="F4" s="17">
        <v>-1.2999999999999545</v>
      </c>
      <c r="G4" s="3" t="s">
        <v>15</v>
      </c>
      <c r="H4" s="17">
        <f t="shared" si="3"/>
        <v>-38.362500000000004</v>
      </c>
      <c r="I4" s="17">
        <v>-3.31486199999999E-2</v>
      </c>
      <c r="J4" s="17">
        <f t="shared" si="0"/>
        <v>-38.766851380000006</v>
      </c>
      <c r="K4" s="17">
        <f t="shared" si="1"/>
        <v>-38.321064225000008</v>
      </c>
      <c r="L4" s="17">
        <f t="shared" si="4"/>
        <v>-8.3564225000003489E-2</v>
      </c>
      <c r="M4" s="17">
        <f t="shared" si="2"/>
        <v>1.2534633750000522E-2</v>
      </c>
      <c r="N4" s="18"/>
    </row>
    <row r="5" spans="1:15" x14ac:dyDescent="0.2">
      <c r="A5" s="3" t="s">
        <v>17</v>
      </c>
      <c r="B5" s="2">
        <v>147.20500000000001</v>
      </c>
      <c r="C5" s="3">
        <v>0.5518000224878008</v>
      </c>
      <c r="D5" s="17">
        <v>-38.392537556597965</v>
      </c>
      <c r="E5" s="17">
        <v>-306.53040890374075</v>
      </c>
      <c r="F5" s="17">
        <v>0.60989154904297038</v>
      </c>
      <c r="G5" s="3" t="s">
        <v>15</v>
      </c>
      <c r="H5" s="17">
        <f t="shared" si="3"/>
        <v>-37.853171945747455</v>
      </c>
      <c r="I5" s="17">
        <v>-3.01444963653619E-2</v>
      </c>
      <c r="J5" s="17">
        <f t="shared" si="0"/>
        <v>-38.362393060232606</v>
      </c>
      <c r="K5" s="17">
        <f t="shared" si="1"/>
        <v>-37.815491325290758</v>
      </c>
      <c r="L5" s="17">
        <f t="shared" si="4"/>
        <v>0.42200867470924663</v>
      </c>
      <c r="M5" s="17">
        <f t="shared" si="2"/>
        <v>6.3301301206386981E-2</v>
      </c>
    </row>
    <row r="6" spans="1:15" x14ac:dyDescent="0.2">
      <c r="A6" s="3" t="s">
        <v>17</v>
      </c>
      <c r="B6" s="2">
        <v>151.155</v>
      </c>
      <c r="C6" s="3">
        <v>0.55821607276809315</v>
      </c>
      <c r="D6" s="17">
        <v>-38.928897251782452</v>
      </c>
      <c r="E6" s="17">
        <v>-311.54930063501718</v>
      </c>
      <c r="F6" s="17">
        <v>-0.11812262075756053</v>
      </c>
      <c r="G6" s="3" t="s">
        <v>15</v>
      </c>
      <c r="H6" s="17">
        <f t="shared" si="3"/>
        <v>-38.52362156472806</v>
      </c>
      <c r="I6" s="17">
        <v>-2.96162060210142E-2</v>
      </c>
      <c r="J6" s="17">
        <f t="shared" si="0"/>
        <v>-38.899281045761441</v>
      </c>
      <c r="K6" s="17">
        <f t="shared" si="1"/>
        <v>-38.486601307201802</v>
      </c>
      <c r="L6" s="17">
        <f t="shared" si="4"/>
        <v>-0.24910130720179779</v>
      </c>
      <c r="M6" s="17">
        <f t="shared" si="2"/>
        <v>3.7365196080269662E-2</v>
      </c>
    </row>
    <row r="7" spans="1:15" x14ac:dyDescent="0.2">
      <c r="A7" s="3" t="s">
        <v>17</v>
      </c>
      <c r="B7" s="2">
        <v>147.505</v>
      </c>
      <c r="C7" s="3">
        <v>0.57896466442265315</v>
      </c>
      <c r="D7" s="17">
        <v>-38.681346623235768</v>
      </c>
      <c r="E7" s="17">
        <v>-309.18403175077947</v>
      </c>
      <c r="F7" s="17">
        <v>0.26674123510667869</v>
      </c>
      <c r="G7" s="3" t="s">
        <v>15</v>
      </c>
      <c r="H7" s="17">
        <f t="shared" si="3"/>
        <v>-38.214183279044711</v>
      </c>
      <c r="I7" s="17">
        <v>-2.74362089977696E-2</v>
      </c>
      <c r="J7" s="17">
        <f t="shared" si="0"/>
        <v>-38.653910414237998</v>
      </c>
      <c r="K7" s="17">
        <f t="shared" si="1"/>
        <v>-38.179888017797495</v>
      </c>
      <c r="L7" s="17">
        <f t="shared" si="4"/>
        <v>5.7611982202509182E-2</v>
      </c>
      <c r="M7" s="17">
        <f t="shared" si="2"/>
        <v>8.6417973303758427E-3</v>
      </c>
    </row>
    <row r="8" spans="1:15" x14ac:dyDescent="0.2">
      <c r="A8" s="3" t="s">
        <v>17</v>
      </c>
      <c r="B8" s="2">
        <v>147.80500000000001</v>
      </c>
      <c r="C8" s="3">
        <v>0.60145258916049871</v>
      </c>
      <c r="D8" s="17">
        <v>-38.240735338916373</v>
      </c>
      <c r="E8" s="17">
        <v>-306.02607952105438</v>
      </c>
      <c r="F8" s="17">
        <v>-0.10019680972339984</v>
      </c>
      <c r="G8" s="3" t="s">
        <v>15</v>
      </c>
      <c r="H8" s="17">
        <f t="shared" si="3"/>
        <v>-37.663419173645465</v>
      </c>
      <c r="I8" s="17">
        <v>-2.49071797790913E-2</v>
      </c>
      <c r="J8" s="17">
        <f t="shared" si="0"/>
        <v>-38.215828159137281</v>
      </c>
      <c r="K8" s="17">
        <f t="shared" si="1"/>
        <v>-37.632285198921601</v>
      </c>
      <c r="L8" s="17">
        <f t="shared" si="4"/>
        <v>0.60521480107840375</v>
      </c>
      <c r="M8" s="17">
        <f t="shared" si="2"/>
        <v>9.0782220161760283E-2</v>
      </c>
    </row>
    <row r="9" spans="1:15" x14ac:dyDescent="0.2">
      <c r="A9" s="3" t="s">
        <v>18</v>
      </c>
      <c r="B9" s="2">
        <v>144.91999999999999</v>
      </c>
      <c r="C9" s="3">
        <v>0.6537288535670166</v>
      </c>
      <c r="D9" s="17">
        <v>-37.244399999999999</v>
      </c>
      <c r="E9" s="17">
        <v>-297.20622000000003</v>
      </c>
      <c r="F9" s="17">
        <v>0.74897999999996046</v>
      </c>
      <c r="G9" s="3" t="s">
        <v>15</v>
      </c>
      <c r="H9" s="17">
        <f t="shared" si="3"/>
        <v>-36.417999999999999</v>
      </c>
      <c r="I9" s="17">
        <v>-2.3351509835448401E-2</v>
      </c>
      <c r="J9" s="17">
        <f t="shared" si="0"/>
        <v>-37.221048490164549</v>
      </c>
      <c r="K9" s="17">
        <f t="shared" si="1"/>
        <v>-36.388810612705683</v>
      </c>
      <c r="L9" s="17">
        <f t="shared" si="4"/>
        <v>1.8486893872943213</v>
      </c>
      <c r="M9" s="17">
        <f t="shared" si="2"/>
        <v>0.27730340809414761</v>
      </c>
    </row>
    <row r="10" spans="1:15" x14ac:dyDescent="0.2">
      <c r="A10" s="3" t="s">
        <v>17</v>
      </c>
      <c r="B10" s="2">
        <v>151.25500000000002</v>
      </c>
      <c r="C10" s="3">
        <v>0.67833698469074122</v>
      </c>
      <c r="D10" s="17">
        <v>-38.719506180610509</v>
      </c>
      <c r="E10" s="17">
        <v>-311.84191000797819</v>
      </c>
      <c r="F10" s="17">
        <v>-2.0858605630941156</v>
      </c>
      <c r="G10" s="3" t="s">
        <v>15</v>
      </c>
      <c r="H10" s="17">
        <f t="shared" si="3"/>
        <v>-38.261882725763137</v>
      </c>
      <c r="I10" s="17">
        <v>-2.6788206039385198E-2</v>
      </c>
      <c r="J10" s="17">
        <f t="shared" si="0"/>
        <v>-38.692717974571124</v>
      </c>
      <c r="K10" s="17">
        <f t="shared" si="1"/>
        <v>-38.228397468213906</v>
      </c>
      <c r="L10" s="17">
        <f t="shared" si="4"/>
        <v>9.1025317860982113E-3</v>
      </c>
      <c r="M10" s="17">
        <f t="shared" si="2"/>
        <v>1.3653797679147315E-3</v>
      </c>
    </row>
    <row r="11" spans="1:15" x14ac:dyDescent="0.2">
      <c r="A11" s="3" t="s">
        <v>16</v>
      </c>
      <c r="B11" s="2">
        <v>139.11000000000001</v>
      </c>
      <c r="C11" s="3">
        <v>0.68</v>
      </c>
      <c r="D11" s="17">
        <v>-38.400000000000006</v>
      </c>
      <c r="E11" s="17">
        <v>-307.7</v>
      </c>
      <c r="F11" s="17">
        <v>-0.49999999999994316</v>
      </c>
      <c r="G11" s="3" t="s">
        <v>15</v>
      </c>
      <c r="H11" s="17">
        <f t="shared" si="3"/>
        <v>-37.862500000000004</v>
      </c>
      <c r="I11" s="17">
        <v>-2.7086999999999899E-2</v>
      </c>
      <c r="J11" s="17">
        <f t="shared" si="0"/>
        <v>-38.372913000000004</v>
      </c>
      <c r="K11" s="17">
        <f t="shared" si="1"/>
        <v>-37.828641250000004</v>
      </c>
      <c r="L11" s="17">
        <f t="shared" si="4"/>
        <v>0.40885875000000027</v>
      </c>
      <c r="M11" s="17">
        <f t="shared" si="2"/>
        <v>6.132881249999976E-2</v>
      </c>
    </row>
    <row r="12" spans="1:15" x14ac:dyDescent="0.2">
      <c r="A12" s="3" t="s">
        <v>17</v>
      </c>
      <c r="B12" s="2">
        <v>146.10499999999999</v>
      </c>
      <c r="C12" s="3">
        <v>0.68043736545063105</v>
      </c>
      <c r="D12" s="17">
        <v>-38.142108432370506</v>
      </c>
      <c r="E12" s="17">
        <v>-304.21878726839623</v>
      </c>
      <c r="F12" s="17">
        <v>0.91808019056782086</v>
      </c>
      <c r="G12" s="3" t="s">
        <v>15</v>
      </c>
      <c r="H12" s="17">
        <f t="shared" si="3"/>
        <v>-37.540135540463133</v>
      </c>
      <c r="I12" s="17">
        <v>-2.7167588957932899E-2</v>
      </c>
      <c r="J12" s="17">
        <f t="shared" si="0"/>
        <v>-38.114940843412576</v>
      </c>
      <c r="K12" s="17">
        <f t="shared" si="1"/>
        <v>-37.506176054265715</v>
      </c>
      <c r="L12" s="17">
        <f t="shared" si="4"/>
        <v>0.73132394573428883</v>
      </c>
      <c r="M12" s="17">
        <f t="shared" si="2"/>
        <v>0.1096985918601425</v>
      </c>
    </row>
    <row r="13" spans="1:15" x14ac:dyDescent="0.2">
      <c r="A13" s="3" t="s">
        <v>18</v>
      </c>
      <c r="B13" s="2">
        <v>157.15</v>
      </c>
      <c r="C13" s="3">
        <v>0.78731518676766743</v>
      </c>
      <c r="D13" s="17">
        <v>-36.947040000000001</v>
      </c>
      <c r="E13" s="17">
        <v>-294.73272000000003</v>
      </c>
      <c r="F13" s="17">
        <v>0.84359999999998081</v>
      </c>
      <c r="G13" s="3" t="s">
        <v>15</v>
      </c>
      <c r="H13" s="17">
        <f t="shared" si="3"/>
        <v>-36.046300000000002</v>
      </c>
      <c r="I13" s="17">
        <v>-5.5403783625503099E-2</v>
      </c>
      <c r="J13" s="17">
        <f t="shared" si="0"/>
        <v>-36.891636216374501</v>
      </c>
      <c r="K13" s="17">
        <f t="shared" si="1"/>
        <v>-35.977045270468125</v>
      </c>
      <c r="L13" s="17">
        <f t="shared" si="4"/>
        <v>2.2604547295318795</v>
      </c>
      <c r="M13" s="17">
        <f t="shared" si="2"/>
        <v>0.33906820942978161</v>
      </c>
    </row>
    <row r="14" spans="1:15" x14ac:dyDescent="0.2">
      <c r="A14" s="3" t="s">
        <v>17</v>
      </c>
      <c r="B14" s="2">
        <v>147.66499999999999</v>
      </c>
      <c r="C14" s="3">
        <v>0.8002711713306353</v>
      </c>
      <c r="D14" s="17">
        <v>-37.518434368202492</v>
      </c>
      <c r="E14" s="17">
        <v>-298.18538774108595</v>
      </c>
      <c r="F14" s="17">
        <v>1.9620872045339866</v>
      </c>
      <c r="G14" s="3" t="s">
        <v>15</v>
      </c>
      <c r="H14" s="17">
        <f t="shared" si="3"/>
        <v>-36.760542960253112</v>
      </c>
      <c r="I14" s="17">
        <v>-5.9407241621998702E-2</v>
      </c>
      <c r="J14" s="17">
        <f t="shared" si="0"/>
        <v>-37.459027126580494</v>
      </c>
      <c r="K14" s="17">
        <f t="shared" si="1"/>
        <v>-36.686283908225619</v>
      </c>
      <c r="L14" s="17">
        <f t="shared" si="4"/>
        <v>1.5512160917743856</v>
      </c>
      <c r="M14" s="17">
        <f t="shared" si="2"/>
        <v>0.23268241376615778</v>
      </c>
    </row>
    <row r="15" spans="1:15" x14ac:dyDescent="0.2">
      <c r="A15" s="3" t="s">
        <v>18</v>
      </c>
      <c r="B15" s="2">
        <v>147.87</v>
      </c>
      <c r="C15" s="3">
        <v>0.83401177354516365</v>
      </c>
      <c r="D15" s="17">
        <v>-36.649679999999996</v>
      </c>
      <c r="E15" s="17">
        <v>-291.9624</v>
      </c>
      <c r="F15" s="17">
        <v>1.2350399999999695</v>
      </c>
      <c r="G15" s="3" t="s">
        <v>15</v>
      </c>
      <c r="H15" s="17">
        <f t="shared" si="3"/>
        <v>-35.674599999999991</v>
      </c>
      <c r="I15" s="17">
        <v>-7.43052618627036E-2</v>
      </c>
      <c r="J15" s="17">
        <f t="shared" si="0"/>
        <v>-36.575374738137292</v>
      </c>
      <c r="K15" s="17">
        <f t="shared" si="1"/>
        <v>-35.581718422671614</v>
      </c>
      <c r="L15" s="17">
        <f t="shared" si="4"/>
        <v>2.6557815773283906</v>
      </c>
      <c r="M15" s="17">
        <f t="shared" si="2"/>
        <v>0.39836723659925827</v>
      </c>
    </row>
    <row r="16" spans="1:15" x14ac:dyDescent="0.2">
      <c r="A16" s="3" t="s">
        <v>17</v>
      </c>
      <c r="B16" s="2">
        <v>154.66499999999999</v>
      </c>
      <c r="C16" s="3">
        <v>0.84626825938151307</v>
      </c>
      <c r="D16" s="17">
        <v>-36.475459433201536</v>
      </c>
      <c r="E16" s="17">
        <v>-291.82148284112992</v>
      </c>
      <c r="F16" s="17">
        <v>-1.7807375517634227E-2</v>
      </c>
      <c r="G16" s="3" t="s">
        <v>15</v>
      </c>
      <c r="H16" s="17">
        <f t="shared" si="3"/>
        <v>-35.456824291501917</v>
      </c>
      <c r="I16" s="17">
        <v>-8.1009586257033403E-2</v>
      </c>
      <c r="J16" s="17">
        <f t="shared" si="0"/>
        <v>-36.394449846944504</v>
      </c>
      <c r="K16" s="17">
        <f t="shared" si="1"/>
        <v>-35.355562308680625</v>
      </c>
      <c r="L16" s="17">
        <f t="shared" si="4"/>
        <v>2.8819376913193793</v>
      </c>
      <c r="M16" s="17">
        <f t="shared" si="2"/>
        <v>0.43229065369790598</v>
      </c>
    </row>
    <row r="17" spans="1:13" x14ac:dyDescent="0.2">
      <c r="A17" s="3" t="s">
        <v>17</v>
      </c>
      <c r="B17" s="2">
        <v>153.86500000000001</v>
      </c>
      <c r="C17" s="3">
        <v>0.85474494434321291</v>
      </c>
      <c r="D17" s="17">
        <v>-36.884572133457041</v>
      </c>
      <c r="E17" s="17">
        <v>-293.26375481599212</v>
      </c>
      <c r="F17" s="17">
        <v>1.8128222516642154</v>
      </c>
      <c r="G17" s="3" t="s">
        <v>15</v>
      </c>
      <c r="H17" s="17">
        <f t="shared" si="3"/>
        <v>-35.968215166821302</v>
      </c>
      <c r="I17" s="17">
        <v>-8.5873632911089404E-2</v>
      </c>
      <c r="J17" s="17">
        <f t="shared" si="0"/>
        <v>-36.798698500545953</v>
      </c>
      <c r="K17" s="17">
        <f t="shared" si="1"/>
        <v>-35.860873125682438</v>
      </c>
      <c r="L17" s="17">
        <f t="shared" si="4"/>
        <v>2.3766268743175658</v>
      </c>
      <c r="M17" s="17">
        <f t="shared" si="2"/>
        <v>0.35649403114763428</v>
      </c>
    </row>
    <row r="18" spans="1:13" x14ac:dyDescent="0.2">
      <c r="A18" s="3" t="s">
        <v>12</v>
      </c>
      <c r="B18" s="2">
        <v>190</v>
      </c>
      <c r="C18" s="3">
        <v>0.88</v>
      </c>
      <c r="D18" s="17">
        <v>-36.800000000000004</v>
      </c>
      <c r="E18" s="17">
        <v>-292.7</v>
      </c>
      <c r="F18" s="17">
        <v>1.7000000000000455</v>
      </c>
      <c r="G18" s="3" t="s">
        <v>15</v>
      </c>
      <c r="H18" s="17">
        <f t="shared" si="3"/>
        <v>-35.862500000000004</v>
      </c>
      <c r="I18" s="17">
        <v>-0.10075062</v>
      </c>
      <c r="J18" s="17">
        <f t="shared" si="0"/>
        <v>-36.699249380000005</v>
      </c>
      <c r="K18" s="17">
        <f t="shared" si="1"/>
        <v>-35.736561725000001</v>
      </c>
      <c r="L18" s="17">
        <f t="shared" si="4"/>
        <v>2.5009382750000029</v>
      </c>
      <c r="M18" s="17">
        <f t="shared" si="2"/>
        <v>0.37514074124999958</v>
      </c>
    </row>
    <row r="19" spans="1:13" x14ac:dyDescent="0.2">
      <c r="A19" s="3" t="s">
        <v>17</v>
      </c>
      <c r="B19" s="2">
        <v>154.755</v>
      </c>
      <c r="C19" s="3">
        <v>0.89104806935775549</v>
      </c>
      <c r="D19" s="17">
        <v>-36.564110088829075</v>
      </c>
      <c r="E19" s="17">
        <v>-291.84758649159818</v>
      </c>
      <c r="F19" s="17">
        <v>0.66529421903442199</v>
      </c>
      <c r="G19" s="3" t="s">
        <v>15</v>
      </c>
      <c r="H19" s="17">
        <f t="shared" si="3"/>
        <v>-35.567637611036339</v>
      </c>
      <c r="I19" s="17">
        <v>-0.10711105995938799</v>
      </c>
      <c r="J19" s="17">
        <f t="shared" si="0"/>
        <v>-36.456999028869689</v>
      </c>
      <c r="K19" s="17">
        <f t="shared" si="1"/>
        <v>-35.433748786087108</v>
      </c>
      <c r="L19" s="17">
        <f t="shared" si="4"/>
        <v>2.8037512139128964</v>
      </c>
      <c r="M19" s="17">
        <f t="shared" si="2"/>
        <v>0.42056268208693381</v>
      </c>
    </row>
    <row r="20" spans="1:13" x14ac:dyDescent="0.2">
      <c r="A20" s="3" t="s">
        <v>17</v>
      </c>
      <c r="B20" s="2">
        <v>153.86500000000001</v>
      </c>
      <c r="C20" s="3">
        <v>0.89858128911113999</v>
      </c>
      <c r="D20" s="17">
        <v>-37.169073970651219</v>
      </c>
      <c r="E20" s="17">
        <v>-295.11184636902402</v>
      </c>
      <c r="F20" s="17">
        <v>2.24074539618573</v>
      </c>
      <c r="G20" s="3" t="s">
        <v>15</v>
      </c>
      <c r="H20" s="17">
        <f t="shared" si="3"/>
        <v>-36.323842463314023</v>
      </c>
      <c r="I20" s="17">
        <v>-0.11128542598296901</v>
      </c>
      <c r="J20" s="17">
        <f t="shared" si="0"/>
        <v>-37.057788544668249</v>
      </c>
      <c r="K20" s="17">
        <f t="shared" si="1"/>
        <v>-36.18473568083531</v>
      </c>
      <c r="L20" s="17">
        <f t="shared" si="4"/>
        <v>2.0527643191646945</v>
      </c>
      <c r="M20" s="17">
        <f t="shared" si="2"/>
        <v>0.30791464787470385</v>
      </c>
    </row>
    <row r="21" spans="1:13" x14ac:dyDescent="0.2">
      <c r="A21" s="3" t="s">
        <v>17</v>
      </c>
      <c r="B21" s="2">
        <v>143.745</v>
      </c>
      <c r="C21" s="3">
        <v>0.94142809465746025</v>
      </c>
      <c r="D21" s="17">
        <v>-37.627712204834211</v>
      </c>
      <c r="E21" s="17">
        <v>-300.82686914595826</v>
      </c>
      <c r="F21" s="17">
        <v>0.19482849271543046</v>
      </c>
      <c r="G21" s="3" t="s">
        <v>15</v>
      </c>
      <c r="H21" s="17">
        <f t="shared" si="3"/>
        <v>-36.897140256042761</v>
      </c>
      <c r="I21" s="17">
        <v>-0.13053826884907399</v>
      </c>
      <c r="J21" s="17">
        <f t="shared" si="0"/>
        <v>-37.497173935985138</v>
      </c>
      <c r="K21" s="17">
        <f t="shared" si="1"/>
        <v>-36.733967419981418</v>
      </c>
      <c r="L21" s="17">
        <f t="shared" si="4"/>
        <v>1.5035325800185859</v>
      </c>
      <c r="M21" s="17">
        <f t="shared" si="2"/>
        <v>0.22552988700278703</v>
      </c>
    </row>
    <row r="22" spans="1:13" x14ac:dyDescent="0.2">
      <c r="A22" s="3" t="s">
        <v>18</v>
      </c>
      <c r="B22" s="2">
        <v>177.31</v>
      </c>
      <c r="C22" s="3">
        <v>0.943176762734803</v>
      </c>
      <c r="D22" s="17">
        <v>-36.797364978132507</v>
      </c>
      <c r="E22" s="17">
        <v>-292.219096990926</v>
      </c>
      <c r="F22" s="17">
        <v>2.1598228341340473</v>
      </c>
      <c r="G22" s="3" t="s">
        <v>15</v>
      </c>
      <c r="H22" s="17">
        <f t="shared" si="3"/>
        <v>-35.859206222665634</v>
      </c>
      <c r="I22" s="17">
        <v>-0.131207427048944</v>
      </c>
      <c r="J22" s="17">
        <f t="shared" si="0"/>
        <v>-36.666157551083565</v>
      </c>
      <c r="K22" s="17">
        <f t="shared" si="1"/>
        <v>-35.695196938854451</v>
      </c>
      <c r="L22" s="17">
        <f t="shared" si="4"/>
        <v>2.542303061145553</v>
      </c>
      <c r="M22" s="17">
        <f t="shared" si="2"/>
        <v>0.3813454591718321</v>
      </c>
    </row>
    <row r="23" spans="1:13" x14ac:dyDescent="0.2">
      <c r="A23" s="3" t="s">
        <v>17</v>
      </c>
      <c r="B23" s="2">
        <v>150.19499999999999</v>
      </c>
      <c r="C23" s="3">
        <v>0.95853780072018036</v>
      </c>
      <c r="D23" s="17">
        <v>-37.484851918593449</v>
      </c>
      <c r="E23" s="17">
        <v>-299.0121301659936</v>
      </c>
      <c r="F23" s="17">
        <v>0.8666851827539972</v>
      </c>
      <c r="G23" s="3" t="s">
        <v>15</v>
      </c>
      <c r="H23" s="17">
        <f t="shared" si="3"/>
        <v>-36.718564898241809</v>
      </c>
      <c r="I23" s="17">
        <v>-0.137061176043416</v>
      </c>
      <c r="J23" s="17">
        <f t="shared" si="0"/>
        <v>-37.347790742550032</v>
      </c>
      <c r="K23" s="17">
        <f t="shared" si="1"/>
        <v>-36.547238428187541</v>
      </c>
      <c r="L23" s="17">
        <f t="shared" si="4"/>
        <v>1.6902615718124636</v>
      </c>
      <c r="M23" s="17">
        <f t="shared" si="2"/>
        <v>0.25353923577186949</v>
      </c>
    </row>
    <row r="24" spans="1:13" x14ac:dyDescent="0.2">
      <c r="A24" s="3" t="s">
        <v>18</v>
      </c>
      <c r="B24" s="2">
        <v>141.56</v>
      </c>
      <c r="C24" s="3">
        <v>0.99404962756463677</v>
      </c>
      <c r="D24" s="17">
        <v>-36.947040000000001</v>
      </c>
      <c r="E24" s="17">
        <v>-294.73272000000003</v>
      </c>
      <c r="F24" s="17">
        <v>0.84359999999998081</v>
      </c>
      <c r="G24" s="3" t="s">
        <v>15</v>
      </c>
      <c r="H24" s="17">
        <f t="shared" si="3"/>
        <v>-36.046300000000002</v>
      </c>
      <c r="I24" s="17">
        <v>-0.15044830502668</v>
      </c>
      <c r="J24" s="17">
        <f t="shared" si="0"/>
        <v>-36.796591694973323</v>
      </c>
      <c r="K24" s="17">
        <f t="shared" si="1"/>
        <v>-35.858239618716652</v>
      </c>
      <c r="L24" s="17">
        <f t="shared" si="4"/>
        <v>2.3792603812833519</v>
      </c>
      <c r="M24" s="17">
        <f t="shared" si="2"/>
        <v>0.35688905719250247</v>
      </c>
    </row>
    <row r="25" spans="1:13" x14ac:dyDescent="0.2">
      <c r="A25" s="3" t="s">
        <v>18</v>
      </c>
      <c r="B25" s="2">
        <v>160.47</v>
      </c>
      <c r="C25" s="3">
        <v>1.0162946660173238</v>
      </c>
      <c r="D25" s="17">
        <v>-36.760432802711236</v>
      </c>
      <c r="E25" s="17">
        <v>-292.60760227558711</v>
      </c>
      <c r="F25" s="17">
        <v>1.4758601461027752</v>
      </c>
      <c r="G25" s="3" t="s">
        <v>15</v>
      </c>
      <c r="H25" s="17">
        <f t="shared" si="3"/>
        <v>-35.813041003389046</v>
      </c>
      <c r="I25" s="17">
        <v>-0.15875626183821101</v>
      </c>
      <c r="J25" s="17">
        <f t="shared" si="0"/>
        <v>-36.601676540873022</v>
      </c>
      <c r="K25" s="17">
        <f t="shared" si="1"/>
        <v>-35.614595676091277</v>
      </c>
      <c r="L25" s="17">
        <f t="shared" si="4"/>
        <v>2.6229043239087275</v>
      </c>
      <c r="M25" s="17">
        <f t="shared" si="2"/>
        <v>0.39343564858630881</v>
      </c>
    </row>
    <row r="26" spans="1:13" x14ac:dyDescent="0.2">
      <c r="A26" s="3" t="s">
        <v>17</v>
      </c>
      <c r="B26" s="2">
        <v>144.285</v>
      </c>
      <c r="C26" s="3">
        <v>1.0434851443710393</v>
      </c>
      <c r="D26" s="17">
        <v>-37.449140663289434</v>
      </c>
      <c r="E26" s="17">
        <v>-297.90524956927953</v>
      </c>
      <c r="F26" s="17">
        <v>1.6878757370359381</v>
      </c>
      <c r="G26" s="3" t="s">
        <v>15</v>
      </c>
      <c r="H26" s="17">
        <f t="shared" si="3"/>
        <v>-36.673925829111788</v>
      </c>
      <c r="I26" s="17">
        <v>-0.16886105252176101</v>
      </c>
      <c r="J26" s="17">
        <f t="shared" si="0"/>
        <v>-37.280279610767671</v>
      </c>
      <c r="K26" s="17">
        <f t="shared" si="1"/>
        <v>-36.462849513459588</v>
      </c>
      <c r="L26" s="17">
        <f t="shared" si="4"/>
        <v>1.7746504865404162</v>
      </c>
      <c r="M26" s="17">
        <f t="shared" si="2"/>
        <v>0.26619757298106211</v>
      </c>
    </row>
    <row r="27" spans="1:13" x14ac:dyDescent="0.2">
      <c r="A27" s="3" t="s">
        <v>17</v>
      </c>
      <c r="B27" s="2">
        <v>149.685</v>
      </c>
      <c r="C27" s="3">
        <v>1.0839061606542959</v>
      </c>
      <c r="D27" s="17">
        <v>-37.394033387638757</v>
      </c>
      <c r="E27" s="17">
        <v>-299.31682872098776</v>
      </c>
      <c r="F27" s="17">
        <v>-0.16456161987770201</v>
      </c>
      <c r="G27" s="3" t="s">
        <v>15</v>
      </c>
      <c r="H27" s="17">
        <f t="shared" si="3"/>
        <v>-36.605041734548443</v>
      </c>
      <c r="I27" s="17">
        <v>-0.18337983032293101</v>
      </c>
      <c r="J27" s="17">
        <f t="shared" si="0"/>
        <v>-37.210653557315823</v>
      </c>
      <c r="K27" s="17">
        <f t="shared" si="1"/>
        <v>-36.375816946644775</v>
      </c>
      <c r="L27" s="17">
        <f t="shared" si="4"/>
        <v>1.8616830533552289</v>
      </c>
      <c r="M27" s="17">
        <f t="shared" si="2"/>
        <v>0.27925245800328374</v>
      </c>
    </row>
    <row r="28" spans="1:13" x14ac:dyDescent="0.2">
      <c r="A28" s="3" t="s">
        <v>17</v>
      </c>
      <c r="B28" s="2">
        <v>150.94500000000002</v>
      </c>
      <c r="C28" s="3">
        <v>1.1578343100258943</v>
      </c>
      <c r="D28" s="17">
        <v>-37.707455584573417</v>
      </c>
      <c r="E28" s="17">
        <v>-300.75566575502268</v>
      </c>
      <c r="F28" s="17">
        <v>0.90397892156465787</v>
      </c>
      <c r="G28" s="3" t="s">
        <v>15</v>
      </c>
      <c r="H28" s="17">
        <f t="shared" si="3"/>
        <v>-36.996819480716766</v>
      </c>
      <c r="I28" s="17">
        <v>-0.206218525031519</v>
      </c>
      <c r="J28" s="17">
        <f t="shared" si="0"/>
        <v>-37.5012370595419</v>
      </c>
      <c r="K28" s="17">
        <f t="shared" si="1"/>
        <v>-36.73904632442737</v>
      </c>
      <c r="L28" s="17">
        <f t="shared" si="4"/>
        <v>1.4984536755726339</v>
      </c>
      <c r="M28" s="17">
        <f t="shared" si="2"/>
        <v>0.22476805133589423</v>
      </c>
    </row>
    <row r="29" spans="1:13" x14ac:dyDescent="0.2">
      <c r="A29" s="3" t="s">
        <v>17</v>
      </c>
      <c r="B29" s="2">
        <v>154.845</v>
      </c>
      <c r="C29" s="3">
        <v>1.1632172555932982</v>
      </c>
      <c r="D29" s="17">
        <v>-36.470562257964943</v>
      </c>
      <c r="E29" s="17">
        <v>-290.7725580394212</v>
      </c>
      <c r="F29" s="17">
        <v>0.99194002429834427</v>
      </c>
      <c r="G29" s="3" t="s">
        <v>15</v>
      </c>
      <c r="H29" s="17">
        <f t="shared" si="3"/>
        <v>-35.450702822456179</v>
      </c>
      <c r="I29" s="17">
        <v>-0.207948795988906</v>
      </c>
      <c r="J29" s="17">
        <f t="shared" si="0"/>
        <v>-36.262613461976038</v>
      </c>
      <c r="K29" s="17">
        <f t="shared" si="1"/>
        <v>-35.190766827470043</v>
      </c>
      <c r="L29" s="17">
        <f t="shared" si="4"/>
        <v>3.0467331725299616</v>
      </c>
      <c r="M29" s="17">
        <f t="shared" si="2"/>
        <v>0.45700997587949332</v>
      </c>
    </row>
    <row r="30" spans="1:13" x14ac:dyDescent="0.2">
      <c r="A30" s="3" t="s">
        <v>18</v>
      </c>
      <c r="B30" s="2">
        <v>166.58</v>
      </c>
      <c r="C30" s="3">
        <v>1.2007467486671333</v>
      </c>
      <c r="D30" s="17">
        <v>-37.195096098053867</v>
      </c>
      <c r="E30" s="17">
        <v>-294.18157111833398</v>
      </c>
      <c r="F30" s="17">
        <v>3.3791976660969567</v>
      </c>
      <c r="G30" s="3" t="s">
        <v>15</v>
      </c>
      <c r="H30" s="17">
        <f t="shared" si="3"/>
        <v>-36.356370122567334</v>
      </c>
      <c r="I30" s="17">
        <v>-0.22136170780945</v>
      </c>
      <c r="J30" s="17">
        <f t="shared" si="0"/>
        <v>-36.973734390244417</v>
      </c>
      <c r="K30" s="17">
        <f t="shared" si="1"/>
        <v>-36.079667987805522</v>
      </c>
      <c r="L30" s="17">
        <f t="shared" si="4"/>
        <v>2.1578320121944827</v>
      </c>
      <c r="M30" s="17">
        <f t="shared" si="2"/>
        <v>0.32367480182917235</v>
      </c>
    </row>
    <row r="31" spans="1:13" x14ac:dyDescent="0.2">
      <c r="A31" s="3" t="s">
        <v>17</v>
      </c>
      <c r="B31" s="2">
        <v>143.79499999999999</v>
      </c>
      <c r="C31" s="3">
        <v>1.2770696871061187</v>
      </c>
      <c r="D31" s="17">
        <v>-37.120327757001156</v>
      </c>
      <c r="E31" s="17">
        <v>-294.97657301736217</v>
      </c>
      <c r="F31" s="17">
        <v>1.9860490386470815</v>
      </c>
      <c r="G31" s="3" t="s">
        <v>15</v>
      </c>
      <c r="H31" s="17">
        <f t="shared" si="3"/>
        <v>-36.262909696251441</v>
      </c>
      <c r="I31" s="17">
        <v>-0.258920980696486</v>
      </c>
      <c r="J31" s="17">
        <f t="shared" si="0"/>
        <v>-36.861406776304669</v>
      </c>
      <c r="K31" s="17">
        <f t="shared" si="1"/>
        <v>-35.939258470380835</v>
      </c>
      <c r="L31" s="17">
        <f t="shared" si="4"/>
        <v>2.2982415296191689</v>
      </c>
      <c r="M31" s="17">
        <f t="shared" si="2"/>
        <v>0.34473622944287502</v>
      </c>
    </row>
    <row r="32" spans="1:13" x14ac:dyDescent="0.2">
      <c r="A32" s="3" t="s">
        <v>17</v>
      </c>
      <c r="B32" s="2">
        <v>145.36500000000001</v>
      </c>
      <c r="C32" s="3">
        <v>1.3095611509706511</v>
      </c>
      <c r="D32" s="17">
        <v>-37.528988852365345</v>
      </c>
      <c r="E32" s="17">
        <v>-297.94110116130435</v>
      </c>
      <c r="F32" s="17">
        <v>2.2908096576184107</v>
      </c>
      <c r="G32" s="3" t="s">
        <v>15</v>
      </c>
      <c r="H32" s="17">
        <f t="shared" si="3"/>
        <v>-36.773736065456681</v>
      </c>
      <c r="I32" s="17">
        <v>-0.27378903405701699</v>
      </c>
      <c r="J32" s="17">
        <f t="shared" si="0"/>
        <v>-37.255199818308327</v>
      </c>
      <c r="K32" s="17">
        <f t="shared" si="1"/>
        <v>-36.43149977288541</v>
      </c>
      <c r="L32" s="17">
        <f t="shared" si="4"/>
        <v>1.8060002271145947</v>
      </c>
      <c r="M32" s="17">
        <f t="shared" si="2"/>
        <v>0.27090003406718915</v>
      </c>
    </row>
    <row r="33" spans="1:13" x14ac:dyDescent="0.2">
      <c r="A33" s="3" t="s">
        <v>17</v>
      </c>
      <c r="B33" s="2">
        <v>154.94499999999999</v>
      </c>
      <c r="C33" s="3">
        <v>1.3748717435898863</v>
      </c>
      <c r="D33" s="17">
        <v>-36.693859250996567</v>
      </c>
      <c r="E33" s="17">
        <v>-291.43148247684366</v>
      </c>
      <c r="F33" s="17">
        <v>2.1193915311288833</v>
      </c>
      <c r="G33" s="3" t="s">
        <v>15</v>
      </c>
      <c r="H33" s="17">
        <f t="shared" si="3"/>
        <v>-35.72982406374571</v>
      </c>
      <c r="I33" s="17">
        <v>-0.29671541162159099</v>
      </c>
      <c r="J33" s="17">
        <f t="shared" si="0"/>
        <v>-36.397143839374976</v>
      </c>
      <c r="K33" s="17">
        <f t="shared" si="1"/>
        <v>-35.358929799218721</v>
      </c>
      <c r="L33" s="17">
        <f t="shared" si="4"/>
        <v>2.878570200781283</v>
      </c>
      <c r="M33" s="17">
        <f t="shared" si="2"/>
        <v>0.43178553011719234</v>
      </c>
    </row>
    <row r="34" spans="1:13" x14ac:dyDescent="0.2">
      <c r="A34" s="3" t="s">
        <v>12</v>
      </c>
      <c r="B34" s="2">
        <v>177.23</v>
      </c>
      <c r="C34" s="3">
        <v>1.38</v>
      </c>
      <c r="D34" s="17">
        <v>-37.1</v>
      </c>
      <c r="E34" s="17">
        <v>-295.7</v>
      </c>
      <c r="F34" s="17">
        <v>1.1000000000000227</v>
      </c>
      <c r="G34" s="3" t="s">
        <v>15</v>
      </c>
      <c r="H34" s="17">
        <f t="shared" si="3"/>
        <v>-36.237499999999997</v>
      </c>
      <c r="I34" s="17">
        <v>-0.29863151999999998</v>
      </c>
      <c r="J34" s="17">
        <f t="shared" ref="J34:J65" si="5">D34-I34</f>
        <v>-36.801368480000001</v>
      </c>
      <c r="K34" s="17">
        <f t="shared" ref="K34:K65" si="6">(J34+8.11)/0.8</f>
        <v>-35.8642106</v>
      </c>
      <c r="L34" s="17">
        <f t="shared" si="4"/>
        <v>2.3732894000000044</v>
      </c>
      <c r="M34" s="17">
        <f t="shared" ref="M34:M65" si="7">SQRT((((J34-J$2)/(N$2^2))*O$2)^2)</f>
        <v>0.35599341000000034</v>
      </c>
    </row>
    <row r="35" spans="1:13" x14ac:dyDescent="0.2">
      <c r="A35" s="3" t="s">
        <v>17</v>
      </c>
      <c r="B35" s="2">
        <v>157.345</v>
      </c>
      <c r="C35" s="3">
        <v>1.3842938471636701</v>
      </c>
      <c r="D35" s="17">
        <v>-36.55202253439279</v>
      </c>
      <c r="E35" s="17">
        <v>-291.83704854139751</v>
      </c>
      <c r="F35" s="17">
        <v>0.5791317337448163</v>
      </c>
      <c r="G35" s="3" t="s">
        <v>15</v>
      </c>
      <c r="H35" s="17">
        <f t="shared" si="3"/>
        <v>-35.552528167990985</v>
      </c>
      <c r="I35" s="17">
        <v>-0.300235164422747</v>
      </c>
      <c r="J35" s="17">
        <f t="shared" si="5"/>
        <v>-36.251787369970046</v>
      </c>
      <c r="K35" s="17">
        <f t="shared" si="6"/>
        <v>-35.177234212462558</v>
      </c>
      <c r="L35" s="17">
        <f t="shared" si="4"/>
        <v>3.0602657875374462</v>
      </c>
      <c r="M35" s="17">
        <f t="shared" si="7"/>
        <v>0.45903986813061681</v>
      </c>
    </row>
    <row r="36" spans="1:13" x14ac:dyDescent="0.2">
      <c r="A36" s="3" t="s">
        <v>16</v>
      </c>
      <c r="B36" s="2">
        <v>137.05000000000001</v>
      </c>
      <c r="C36" s="3">
        <v>1.41</v>
      </c>
      <c r="D36" s="17">
        <v>-35.5</v>
      </c>
      <c r="E36" s="17">
        <v>-279.7</v>
      </c>
      <c r="F36" s="17">
        <v>4.3000000000000114</v>
      </c>
      <c r="G36" s="3" t="s">
        <v>15</v>
      </c>
      <c r="H36" s="17">
        <f t="shared" si="3"/>
        <v>-34.237499999999997</v>
      </c>
      <c r="I36" s="17">
        <v>-0.30958955999999999</v>
      </c>
      <c r="J36" s="17">
        <f t="shared" si="5"/>
        <v>-35.190410440000001</v>
      </c>
      <c r="K36" s="17">
        <f t="shared" si="6"/>
        <v>-33.850513049999996</v>
      </c>
      <c r="L36" s="17">
        <f t="shared" si="4"/>
        <v>4.3869869500000078</v>
      </c>
      <c r="M36" s="17">
        <f t="shared" si="7"/>
        <v>0.65804804250000015</v>
      </c>
    </row>
    <row r="37" spans="1:13" x14ac:dyDescent="0.2">
      <c r="A37" s="3" t="s">
        <v>17</v>
      </c>
      <c r="B37" s="2">
        <v>156.32499999999999</v>
      </c>
      <c r="C37" s="3">
        <v>1.4212000918637198</v>
      </c>
      <c r="D37" s="17">
        <v>-36.679483908097531</v>
      </c>
      <c r="E37" s="17">
        <v>-292.63565725283507</v>
      </c>
      <c r="F37" s="17">
        <v>0.80021401194517239</v>
      </c>
      <c r="G37" s="3" t="s">
        <v>15</v>
      </c>
      <c r="H37" s="17">
        <f t="shared" si="3"/>
        <v>-35.711854885121909</v>
      </c>
      <c r="I37" s="17">
        <v>-0.31338462615242801</v>
      </c>
      <c r="J37" s="17">
        <f t="shared" si="5"/>
        <v>-36.366099281945104</v>
      </c>
      <c r="K37" s="17">
        <f t="shared" si="6"/>
        <v>-35.320124102431379</v>
      </c>
      <c r="L37" s="17">
        <f t="shared" si="4"/>
        <v>2.9173758975686255</v>
      </c>
      <c r="M37" s="17">
        <f t="shared" si="7"/>
        <v>0.43760638463529344</v>
      </c>
    </row>
    <row r="38" spans="1:13" x14ac:dyDescent="0.2">
      <c r="A38" s="3" t="s">
        <v>17</v>
      </c>
      <c r="B38" s="2">
        <v>144.41499999999999</v>
      </c>
      <c r="C38" s="3">
        <v>1.4294909633227881</v>
      </c>
      <c r="D38" s="17">
        <v>-37.314319185688746</v>
      </c>
      <c r="E38" s="17">
        <v>-297.18243297582984</v>
      </c>
      <c r="F38" s="17">
        <v>1.3321205096801236</v>
      </c>
      <c r="G38" s="3" t="s">
        <v>15</v>
      </c>
      <c r="H38" s="17">
        <f t="shared" si="3"/>
        <v>-36.505398982110933</v>
      </c>
      <c r="I38" s="17">
        <v>-0.31602229131123999</v>
      </c>
      <c r="J38" s="17">
        <f t="shared" si="5"/>
        <v>-36.998296894377503</v>
      </c>
      <c r="K38" s="17">
        <f t="shared" si="6"/>
        <v>-36.11037111797188</v>
      </c>
      <c r="L38" s="17">
        <f t="shared" si="4"/>
        <v>2.1271288820281242</v>
      </c>
      <c r="M38" s="17">
        <f t="shared" si="7"/>
        <v>0.31906933230421858</v>
      </c>
    </row>
    <row r="39" spans="1:13" x14ac:dyDescent="0.2">
      <c r="A39" s="3" t="s">
        <v>17</v>
      </c>
      <c r="B39" s="2">
        <v>152.26500000000001</v>
      </c>
      <c r="C39" s="3">
        <v>1.5071805347941032</v>
      </c>
      <c r="D39" s="17">
        <v>-37.182453898527221</v>
      </c>
      <c r="E39" s="17">
        <v>-295.90590724190309</v>
      </c>
      <c r="F39" s="17">
        <v>1.5537239463146761</v>
      </c>
      <c r="G39" s="3" t="s">
        <v>15</v>
      </c>
      <c r="H39" s="17">
        <f t="shared" si="3"/>
        <v>-36.340567373159026</v>
      </c>
      <c r="I39" s="17">
        <v>-0.33054194316884</v>
      </c>
      <c r="J39" s="17">
        <f t="shared" si="5"/>
        <v>-36.851911955358382</v>
      </c>
      <c r="K39" s="17">
        <f t="shared" si="6"/>
        <v>-35.927389944197976</v>
      </c>
      <c r="L39" s="17">
        <f t="shared" si="4"/>
        <v>2.3101100558020278</v>
      </c>
      <c r="M39" s="17">
        <f t="shared" si="7"/>
        <v>0.34651650837030384</v>
      </c>
    </row>
    <row r="40" spans="1:13" x14ac:dyDescent="0.2">
      <c r="A40" s="3" t="s">
        <v>17</v>
      </c>
      <c r="B40" s="2">
        <v>156.44499999999999</v>
      </c>
      <c r="C40" s="3">
        <v>1.5212969073531994</v>
      </c>
      <c r="D40" s="17">
        <v>-36.883613777263776</v>
      </c>
      <c r="E40" s="17">
        <v>-294.74729814001347</v>
      </c>
      <c r="F40" s="17">
        <v>0.32161207809673442</v>
      </c>
      <c r="G40" s="3" t="s">
        <v>15</v>
      </c>
      <c r="H40" s="17">
        <f t="shared" si="3"/>
        <v>-35.967017221579717</v>
      </c>
      <c r="I40" s="17">
        <v>-0.33161992714307598</v>
      </c>
      <c r="J40" s="17">
        <f t="shared" si="5"/>
        <v>-36.551993850120702</v>
      </c>
      <c r="K40" s="17">
        <f t="shared" si="6"/>
        <v>-35.552492312650877</v>
      </c>
      <c r="L40" s="17">
        <f t="shared" si="4"/>
        <v>2.6850076873491275</v>
      </c>
      <c r="M40" s="17">
        <f t="shared" si="7"/>
        <v>0.40275115310236881</v>
      </c>
    </row>
    <row r="41" spans="1:13" x14ac:dyDescent="0.2">
      <c r="A41" s="3" t="s">
        <v>16</v>
      </c>
      <c r="B41" s="2">
        <v>132.07</v>
      </c>
      <c r="C41" s="3">
        <v>1.55</v>
      </c>
      <c r="D41" s="17">
        <v>-36.700000000000003</v>
      </c>
      <c r="E41" s="17">
        <v>-292.7</v>
      </c>
      <c r="F41" s="17">
        <v>0.90000000000003411</v>
      </c>
      <c r="G41" s="3" t="s">
        <v>15</v>
      </c>
      <c r="H41" s="17">
        <f t="shared" si="3"/>
        <v>-35.737500000000004</v>
      </c>
      <c r="I41" s="17">
        <v>-0.33305363999999998</v>
      </c>
      <c r="J41" s="17">
        <f t="shared" si="5"/>
        <v>-36.36694636</v>
      </c>
      <c r="K41" s="17">
        <f t="shared" si="6"/>
        <v>-35.321182950000001</v>
      </c>
      <c r="L41" s="17">
        <f t="shared" si="4"/>
        <v>2.9163170500000035</v>
      </c>
      <c r="M41" s="17">
        <f t="shared" si="7"/>
        <v>0.43744755750000042</v>
      </c>
    </row>
    <row r="42" spans="1:13" x14ac:dyDescent="0.2">
      <c r="A42" s="3" t="s">
        <v>17</v>
      </c>
      <c r="B42" s="2">
        <v>155.35499999999999</v>
      </c>
      <c r="C42" s="3">
        <v>1.6029531498414198</v>
      </c>
      <c r="D42" s="17">
        <v>-36.746568841626349</v>
      </c>
      <c r="E42" s="17">
        <v>-292.18963091580775</v>
      </c>
      <c r="F42" s="17">
        <v>1.7829198172030374</v>
      </c>
      <c r="G42" s="3" t="s">
        <v>15</v>
      </c>
      <c r="H42" s="17">
        <f t="shared" si="3"/>
        <v>-35.795711052032935</v>
      </c>
      <c r="I42" s="17">
        <v>-0.33458558502035701</v>
      </c>
      <c r="J42" s="17">
        <f t="shared" si="5"/>
        <v>-36.411983256605993</v>
      </c>
      <c r="K42" s="17">
        <f t="shared" si="6"/>
        <v>-35.377479070757488</v>
      </c>
      <c r="L42" s="17">
        <f t="shared" si="4"/>
        <v>2.8600209292425163</v>
      </c>
      <c r="M42" s="17">
        <f t="shared" si="7"/>
        <v>0.4290031393863768</v>
      </c>
    </row>
    <row r="43" spans="1:13" x14ac:dyDescent="0.2">
      <c r="A43" s="3" t="s">
        <v>16</v>
      </c>
      <c r="B43" s="2">
        <v>143.75</v>
      </c>
      <c r="C43" s="3">
        <v>1.61</v>
      </c>
      <c r="D43" s="17">
        <v>-37.400000000000006</v>
      </c>
      <c r="E43" s="17">
        <v>-296.7</v>
      </c>
      <c r="F43" s="17">
        <v>2.5000000000000568</v>
      </c>
      <c r="G43" s="3" t="s">
        <v>15</v>
      </c>
      <c r="H43" s="17">
        <f t="shared" si="3"/>
        <v>-36.612500000000004</v>
      </c>
      <c r="I43" s="17">
        <v>-0.33420264</v>
      </c>
      <c r="J43" s="17">
        <f t="shared" si="5"/>
        <v>-37.065797360000005</v>
      </c>
      <c r="K43" s="17">
        <f t="shared" si="6"/>
        <v>-36.194746700000003</v>
      </c>
      <c r="L43" s="17">
        <f t="shared" si="4"/>
        <v>2.0427533000000011</v>
      </c>
      <c r="M43" s="17">
        <f t="shared" si="7"/>
        <v>0.30641299499999958</v>
      </c>
    </row>
    <row r="44" spans="1:13" x14ac:dyDescent="0.2">
      <c r="A44" s="3" t="s">
        <v>17</v>
      </c>
      <c r="B44" s="2">
        <v>144.845</v>
      </c>
      <c r="C44" s="3">
        <v>1.6237099145962235</v>
      </c>
      <c r="D44" s="17">
        <v>-36.60978923163772</v>
      </c>
      <c r="E44" s="17">
        <v>-289.57404630713972</v>
      </c>
      <c r="F44" s="17">
        <v>3.3042675459620341</v>
      </c>
      <c r="G44" s="3" t="s">
        <v>15</v>
      </c>
      <c r="H44" s="17">
        <f t="shared" si="3"/>
        <v>-35.62473653954715</v>
      </c>
      <c r="I44" s="17">
        <v>-0.33257163069247597</v>
      </c>
      <c r="J44" s="17">
        <f t="shared" si="5"/>
        <v>-36.277217600945242</v>
      </c>
      <c r="K44" s="17">
        <f t="shared" si="6"/>
        <v>-35.209022001181552</v>
      </c>
      <c r="L44" s="17">
        <f t="shared" si="4"/>
        <v>3.0284779988184525</v>
      </c>
      <c r="M44" s="17">
        <f t="shared" si="7"/>
        <v>0.45427169982276749</v>
      </c>
    </row>
    <row r="45" spans="1:13" x14ac:dyDescent="0.2">
      <c r="A45" s="3" t="s">
        <v>17</v>
      </c>
      <c r="B45" s="2">
        <v>145.125</v>
      </c>
      <c r="C45" s="3">
        <v>1.6472212021544799</v>
      </c>
      <c r="D45" s="17">
        <v>-37.162460402346603</v>
      </c>
      <c r="E45" s="17">
        <v>-294.78166139612972</v>
      </c>
      <c r="F45" s="17">
        <v>2.5180218226431066</v>
      </c>
      <c r="G45" s="3" t="s">
        <v>15</v>
      </c>
      <c r="H45" s="17">
        <f t="shared" si="3"/>
        <v>-36.31557550293325</v>
      </c>
      <c r="I45" s="17">
        <v>-0.32782896126642203</v>
      </c>
      <c r="J45" s="17">
        <f t="shared" si="5"/>
        <v>-36.834631441080184</v>
      </c>
      <c r="K45" s="17">
        <f t="shared" si="6"/>
        <v>-35.905789301350225</v>
      </c>
      <c r="L45" s="17">
        <f t="shared" si="4"/>
        <v>2.3317106986497791</v>
      </c>
      <c r="M45" s="17">
        <f t="shared" si="7"/>
        <v>0.34975660479746601</v>
      </c>
    </row>
    <row r="46" spans="1:13" x14ac:dyDescent="0.2">
      <c r="A46" s="3" t="s">
        <v>17</v>
      </c>
      <c r="B46" s="2">
        <v>156.82499999999999</v>
      </c>
      <c r="C46" s="3">
        <v>1.6744899622546003</v>
      </c>
      <c r="D46" s="17">
        <v>-36.807903637995544</v>
      </c>
      <c r="E46" s="17">
        <v>-294.60954054564007</v>
      </c>
      <c r="F46" s="17">
        <v>-0.14631144167572074</v>
      </c>
      <c r="G46" s="3" t="s">
        <v>15</v>
      </c>
      <c r="H46" s="17">
        <f t="shared" si="3"/>
        <v>-35.872379547494425</v>
      </c>
      <c r="I46" s="17">
        <v>-0.32098115144389899</v>
      </c>
      <c r="J46" s="17">
        <f t="shared" si="5"/>
        <v>-36.486922486551641</v>
      </c>
      <c r="K46" s="17">
        <f t="shared" si="6"/>
        <v>-35.471153108189547</v>
      </c>
      <c r="L46" s="17">
        <f t="shared" si="4"/>
        <v>2.766346891810457</v>
      </c>
      <c r="M46" s="17">
        <f t="shared" si="7"/>
        <v>0.41495203377156764</v>
      </c>
    </row>
    <row r="47" spans="1:13" x14ac:dyDescent="0.2">
      <c r="A47" s="3" t="s">
        <v>17</v>
      </c>
      <c r="B47" s="2">
        <v>157.07499999999999</v>
      </c>
      <c r="C47" s="3">
        <v>1.7123774776994445</v>
      </c>
      <c r="D47" s="17">
        <v>-36.736985279693648</v>
      </c>
      <c r="E47" s="17">
        <v>-293.57491357810829</v>
      </c>
      <c r="F47" s="17">
        <v>0.32096865944089359</v>
      </c>
      <c r="G47" s="3" t="s">
        <v>15</v>
      </c>
      <c r="H47" s="17">
        <f t="shared" si="3"/>
        <v>-35.783731599617056</v>
      </c>
      <c r="I47" s="17">
        <v>-0.31331206083761598</v>
      </c>
      <c r="J47" s="17">
        <f t="shared" si="5"/>
        <v>-36.423673218856031</v>
      </c>
      <c r="K47" s="17">
        <f t="shared" si="6"/>
        <v>-35.392091523570038</v>
      </c>
      <c r="L47" s="17">
        <f t="shared" si="4"/>
        <v>2.8454084764299665</v>
      </c>
      <c r="M47" s="17">
        <f t="shared" si="7"/>
        <v>0.4268112714644946</v>
      </c>
    </row>
    <row r="48" spans="1:13" x14ac:dyDescent="0.2">
      <c r="A48" s="3" t="s">
        <v>17</v>
      </c>
      <c r="B48" s="2">
        <v>157.17500000000001</v>
      </c>
      <c r="C48" s="3">
        <v>1.833234610477416</v>
      </c>
      <c r="D48" s="17">
        <v>-36.726580641609118</v>
      </c>
      <c r="E48" s="17">
        <v>-292.18817163707399</v>
      </c>
      <c r="F48" s="17">
        <v>1.6244734957989522</v>
      </c>
      <c r="G48" s="3" t="s">
        <v>15</v>
      </c>
      <c r="H48" s="17">
        <f t="shared" si="3"/>
        <v>-35.770725802011398</v>
      </c>
      <c r="I48" s="17">
        <v>-0.30989727326827599</v>
      </c>
      <c r="J48" s="17">
        <f t="shared" si="5"/>
        <v>-36.416683368340841</v>
      </c>
      <c r="K48" s="17">
        <f t="shared" si="6"/>
        <v>-35.383354210426049</v>
      </c>
      <c r="L48" s="17">
        <f t="shared" si="4"/>
        <v>2.8541457895739555</v>
      </c>
      <c r="M48" s="17">
        <f t="shared" si="7"/>
        <v>0.42812186843609268</v>
      </c>
    </row>
    <row r="49" spans="1:13" x14ac:dyDescent="0.2">
      <c r="A49" s="3" t="s">
        <v>17</v>
      </c>
      <c r="B49" s="2">
        <v>152.66499999999999</v>
      </c>
      <c r="C49" s="3">
        <v>1.8473931806556489</v>
      </c>
      <c r="D49" s="17">
        <v>-36.657769583961105</v>
      </c>
      <c r="E49" s="17">
        <v>-291.62084862789652</v>
      </c>
      <c r="F49" s="17">
        <v>1.6413080437923213</v>
      </c>
      <c r="G49" s="3" t="s">
        <v>15</v>
      </c>
      <c r="H49" s="17">
        <f t="shared" si="3"/>
        <v>-35.684711979951381</v>
      </c>
      <c r="I49" s="17">
        <v>-0.31026431116314801</v>
      </c>
      <c r="J49" s="17">
        <f t="shared" si="5"/>
        <v>-36.34750527279796</v>
      </c>
      <c r="K49" s="17">
        <f t="shared" si="6"/>
        <v>-35.296881590997451</v>
      </c>
      <c r="L49" s="17">
        <f t="shared" si="4"/>
        <v>2.9406184090025533</v>
      </c>
      <c r="M49" s="17">
        <f t="shared" si="7"/>
        <v>0.44109276135038289</v>
      </c>
    </row>
    <row r="50" spans="1:13" x14ac:dyDescent="0.2">
      <c r="A50" s="3" t="s">
        <v>17</v>
      </c>
      <c r="B50" s="2">
        <v>155.815</v>
      </c>
      <c r="C50" s="3">
        <v>1.8714303690754843</v>
      </c>
      <c r="D50" s="17">
        <v>-37.117452688421352</v>
      </c>
      <c r="E50" s="17">
        <v>-295.24727150700505</v>
      </c>
      <c r="F50" s="17">
        <v>1.6923500003657637</v>
      </c>
      <c r="G50" s="3" t="s">
        <v>15</v>
      </c>
      <c r="H50" s="17">
        <f t="shared" si="3"/>
        <v>-36.259315860526691</v>
      </c>
      <c r="I50" s="17">
        <v>-0.31150034521515801</v>
      </c>
      <c r="J50" s="17">
        <f t="shared" si="5"/>
        <v>-36.805952343206194</v>
      </c>
      <c r="K50" s="17">
        <f t="shared" si="6"/>
        <v>-35.869940429007741</v>
      </c>
      <c r="L50" s="17">
        <f t="shared" si="4"/>
        <v>2.3675595709922632</v>
      </c>
      <c r="M50" s="17">
        <f t="shared" si="7"/>
        <v>0.35513393564883916</v>
      </c>
    </row>
    <row r="51" spans="1:13" x14ac:dyDescent="0.2">
      <c r="A51" s="3" t="s">
        <v>17</v>
      </c>
      <c r="B51" s="2">
        <v>155.58499999999998</v>
      </c>
      <c r="C51" s="3">
        <v>1.8717609318832507</v>
      </c>
      <c r="D51" s="17">
        <v>-37.335957900486626</v>
      </c>
      <c r="E51" s="17">
        <v>-297.38781258880726</v>
      </c>
      <c r="F51" s="17">
        <v>1.2998506150857452</v>
      </c>
      <c r="G51" s="3" t="s">
        <v>15</v>
      </c>
      <c r="H51" s="17">
        <f t="shared" si="3"/>
        <v>-36.532447375608278</v>
      </c>
      <c r="I51" s="17">
        <v>-0.31151916746143199</v>
      </c>
      <c r="J51" s="17">
        <f t="shared" si="5"/>
        <v>-37.024438733025193</v>
      </c>
      <c r="K51" s="17">
        <f t="shared" si="6"/>
        <v>-36.143048416281488</v>
      </c>
      <c r="L51" s="17">
        <f t="shared" si="4"/>
        <v>2.0944515837185165</v>
      </c>
      <c r="M51" s="17">
        <f t="shared" si="7"/>
        <v>0.31416773755777688</v>
      </c>
    </row>
    <row r="52" spans="1:13" x14ac:dyDescent="0.2">
      <c r="A52" s="3" t="s">
        <v>12</v>
      </c>
      <c r="B52" s="2">
        <v>184.49</v>
      </c>
      <c r="C52" s="3">
        <v>1.9</v>
      </c>
      <c r="D52" s="17">
        <v>-37.1</v>
      </c>
      <c r="E52" s="17">
        <v>-296.7</v>
      </c>
      <c r="F52" s="17">
        <v>0.10000000000002274</v>
      </c>
      <c r="G52" s="3" t="s">
        <v>15</v>
      </c>
      <c r="H52" s="17">
        <f t="shared" si="3"/>
        <v>-36.237499999999997</v>
      </c>
      <c r="I52" s="17">
        <v>-0.31321374000000002</v>
      </c>
      <c r="J52" s="17">
        <f t="shared" si="5"/>
        <v>-36.78678626</v>
      </c>
      <c r="K52" s="17">
        <f t="shared" si="6"/>
        <v>-35.845982825</v>
      </c>
      <c r="L52" s="17">
        <f t="shared" si="4"/>
        <v>2.3915171750000042</v>
      </c>
      <c r="M52" s="17">
        <f t="shared" si="7"/>
        <v>0.35872757625000057</v>
      </c>
    </row>
    <row r="53" spans="1:13" x14ac:dyDescent="0.2">
      <c r="A53" s="3" t="s">
        <v>17</v>
      </c>
      <c r="B53" s="2">
        <v>155.66499999999999</v>
      </c>
      <c r="C53" s="3">
        <v>1.9266562712920976</v>
      </c>
      <c r="D53" s="17">
        <v>-37.164412141891518</v>
      </c>
      <c r="E53" s="17">
        <v>-296.61617739235203</v>
      </c>
      <c r="F53" s="17">
        <v>0.69911974278011257</v>
      </c>
      <c r="G53" s="3" t="s">
        <v>15</v>
      </c>
      <c r="H53" s="17">
        <f t="shared" si="3"/>
        <v>-36.318015177364394</v>
      </c>
      <c r="I53" s="17">
        <v>-0.31515398051043098</v>
      </c>
      <c r="J53" s="17">
        <f t="shared" si="5"/>
        <v>-36.849258161381087</v>
      </c>
      <c r="K53" s="17">
        <f t="shared" si="6"/>
        <v>-35.924072701726359</v>
      </c>
      <c r="L53" s="17">
        <f t="shared" si="4"/>
        <v>2.3134272982736448</v>
      </c>
      <c r="M53" s="17">
        <f t="shared" si="7"/>
        <v>0.34701409474104666</v>
      </c>
    </row>
    <row r="54" spans="1:13" x14ac:dyDescent="0.2">
      <c r="A54" s="3" t="s">
        <v>16</v>
      </c>
      <c r="B54" s="2">
        <v>141.32</v>
      </c>
      <c r="C54" s="3">
        <v>1.97</v>
      </c>
      <c r="D54" s="17">
        <v>-36.900000000000006</v>
      </c>
      <c r="E54" s="17">
        <v>-293.7</v>
      </c>
      <c r="F54" s="17">
        <v>1.5000000000000568</v>
      </c>
      <c r="G54" s="3" t="s">
        <v>15</v>
      </c>
      <c r="H54" s="17">
        <f t="shared" si="3"/>
        <v>-35.987500000000004</v>
      </c>
      <c r="I54" s="17">
        <v>-0.31970843999999998</v>
      </c>
      <c r="J54" s="17">
        <f t="shared" si="5"/>
        <v>-36.580291560000006</v>
      </c>
      <c r="K54" s="17">
        <f t="shared" si="6"/>
        <v>-35.587864450000005</v>
      </c>
      <c r="L54" s="17">
        <f t="shared" si="4"/>
        <v>2.6496355499999993</v>
      </c>
      <c r="M54" s="17">
        <f t="shared" si="7"/>
        <v>0.3974453324999993</v>
      </c>
    </row>
    <row r="55" spans="1:13" x14ac:dyDescent="0.2">
      <c r="A55" s="3" t="s">
        <v>17</v>
      </c>
      <c r="B55" s="2">
        <v>148.815</v>
      </c>
      <c r="C55" s="3">
        <v>1.983722369312529</v>
      </c>
      <c r="D55" s="17">
        <v>-36.030626116819263</v>
      </c>
      <c r="E55" s="17">
        <v>-285.35970121834987</v>
      </c>
      <c r="F55" s="17">
        <v>2.8853077162042382</v>
      </c>
      <c r="G55" s="3" t="s">
        <v>15</v>
      </c>
      <c r="H55" s="17">
        <f t="shared" si="3"/>
        <v>-34.900782646024076</v>
      </c>
      <c r="I55" s="17">
        <v>-0.32166501905675299</v>
      </c>
      <c r="J55" s="17">
        <f t="shared" si="5"/>
        <v>-35.708961097762511</v>
      </c>
      <c r="K55" s="17">
        <f t="shared" si="6"/>
        <v>-34.498701372203136</v>
      </c>
      <c r="L55" s="17">
        <f t="shared" si="4"/>
        <v>3.7387986277968679</v>
      </c>
      <c r="M55" s="17">
        <f t="shared" si="7"/>
        <v>0.56081979416952954</v>
      </c>
    </row>
    <row r="56" spans="1:13" x14ac:dyDescent="0.2">
      <c r="A56" s="3" t="s">
        <v>17</v>
      </c>
      <c r="B56" s="2">
        <v>151.94499999999999</v>
      </c>
      <c r="C56" s="3">
        <v>2.0088826578032206</v>
      </c>
      <c r="D56" s="17">
        <v>-36.478096266769072</v>
      </c>
      <c r="E56" s="17">
        <v>-288.37380934771392</v>
      </c>
      <c r="F56" s="17">
        <v>3.4509607864386567</v>
      </c>
      <c r="G56" s="3" t="s">
        <v>15</v>
      </c>
      <c r="H56" s="17">
        <f t="shared" si="3"/>
        <v>-35.46012033346134</v>
      </c>
      <c r="I56" s="17">
        <v>-0.32635777120967602</v>
      </c>
      <c r="J56" s="17">
        <f t="shared" si="5"/>
        <v>-36.151738495559393</v>
      </c>
      <c r="K56" s="17">
        <f t="shared" si="6"/>
        <v>-35.052173119449236</v>
      </c>
      <c r="L56" s="17">
        <f t="shared" si="4"/>
        <v>3.1853268805507682</v>
      </c>
      <c r="M56" s="17">
        <f t="shared" si="7"/>
        <v>0.47779903208261432</v>
      </c>
    </row>
    <row r="57" spans="1:13" x14ac:dyDescent="0.2">
      <c r="A57" s="3" t="s">
        <v>16</v>
      </c>
      <c r="B57" s="2">
        <v>145.4</v>
      </c>
      <c r="C57" s="3">
        <v>2.0099999999999998</v>
      </c>
      <c r="D57" s="17">
        <v>-36.5</v>
      </c>
      <c r="E57" s="17">
        <v>-290.7</v>
      </c>
      <c r="F57" s="17">
        <v>1.3000000000000114</v>
      </c>
      <c r="G57" s="3" t="s">
        <v>15</v>
      </c>
      <c r="H57" s="17">
        <f t="shared" si="3"/>
        <v>-35.487499999999997</v>
      </c>
      <c r="I57" s="17">
        <v>-0.32661876000000001</v>
      </c>
      <c r="J57" s="17">
        <f t="shared" si="5"/>
        <v>-36.173381239999998</v>
      </c>
      <c r="K57" s="17">
        <f t="shared" si="6"/>
        <v>-35.079226549999994</v>
      </c>
      <c r="L57" s="17">
        <f t="shared" si="4"/>
        <v>3.15827345000001</v>
      </c>
      <c r="M57" s="17">
        <f t="shared" si="7"/>
        <v>0.47374101750000086</v>
      </c>
    </row>
    <row r="58" spans="1:13" x14ac:dyDescent="0.2">
      <c r="A58" s="3" t="s">
        <v>17</v>
      </c>
      <c r="B58" s="2">
        <v>148.64500000000001</v>
      </c>
      <c r="C58" s="3">
        <v>2.0155950392316848</v>
      </c>
      <c r="D58" s="17">
        <v>-35.721499728891963</v>
      </c>
      <c r="E58" s="17">
        <v>-283.02622922507697</v>
      </c>
      <c r="F58" s="17">
        <v>2.7457686060587321</v>
      </c>
      <c r="G58" s="3" t="s">
        <v>15</v>
      </c>
      <c r="H58" s="17">
        <f t="shared" si="3"/>
        <v>-34.51437466111495</v>
      </c>
      <c r="I58" s="17">
        <v>-0.32800172153407098</v>
      </c>
      <c r="J58" s="17">
        <f t="shared" si="5"/>
        <v>-35.393498007357891</v>
      </c>
      <c r="K58" s="17">
        <f t="shared" si="6"/>
        <v>-34.104372509197361</v>
      </c>
      <c r="L58" s="17">
        <f t="shared" si="4"/>
        <v>4.133127490802643</v>
      </c>
      <c r="M58" s="17">
        <f t="shared" si="7"/>
        <v>0.6199691236203958</v>
      </c>
    </row>
    <row r="59" spans="1:13" x14ac:dyDescent="0.2">
      <c r="A59" s="3" t="s">
        <v>17</v>
      </c>
      <c r="B59" s="2">
        <v>149.41499999999999</v>
      </c>
      <c r="C59" s="3">
        <v>2.0804195946942698</v>
      </c>
      <c r="D59" s="17">
        <v>-35.793188046602616</v>
      </c>
      <c r="E59" s="17">
        <v>-283.27932542941937</v>
      </c>
      <c r="F59" s="17">
        <v>3.0661789434015532</v>
      </c>
      <c r="G59" s="3" t="s">
        <v>15</v>
      </c>
      <c r="H59" s="17">
        <f t="shared" si="3"/>
        <v>-34.603985058253265</v>
      </c>
      <c r="I59" s="17">
        <v>-0.34851497506672102</v>
      </c>
      <c r="J59" s="17">
        <f t="shared" si="5"/>
        <v>-35.444673071535895</v>
      </c>
      <c r="K59" s="17">
        <f t="shared" si="6"/>
        <v>-34.168341339419868</v>
      </c>
      <c r="L59" s="17">
        <f t="shared" si="4"/>
        <v>4.0691586605801362</v>
      </c>
      <c r="M59" s="17">
        <f t="shared" si="7"/>
        <v>0.61037379908701994</v>
      </c>
    </row>
    <row r="60" spans="1:13" x14ac:dyDescent="0.2">
      <c r="A60" s="3" t="s">
        <v>17</v>
      </c>
      <c r="B60" s="2">
        <v>153.035</v>
      </c>
      <c r="C60" s="3">
        <v>2.171741537264559</v>
      </c>
      <c r="D60" s="17">
        <v>-36.151429645606449</v>
      </c>
      <c r="E60" s="17">
        <v>-285.67167368832185</v>
      </c>
      <c r="F60" s="17">
        <v>3.5397634765297425</v>
      </c>
      <c r="G60" s="3" t="s">
        <v>15</v>
      </c>
      <c r="H60" s="17">
        <f t="shared" si="3"/>
        <v>-35.051787057008056</v>
      </c>
      <c r="I60" s="17">
        <v>-0.373992749542709</v>
      </c>
      <c r="J60" s="17">
        <f t="shared" si="5"/>
        <v>-35.77743689606374</v>
      </c>
      <c r="K60" s="17">
        <f t="shared" si="6"/>
        <v>-34.584296120079671</v>
      </c>
      <c r="L60" s="17">
        <f t="shared" si="4"/>
        <v>3.6532038799203335</v>
      </c>
      <c r="M60" s="17">
        <f t="shared" si="7"/>
        <v>0.54798058198804911</v>
      </c>
    </row>
    <row r="61" spans="1:13" x14ac:dyDescent="0.2">
      <c r="A61" s="3" t="s">
        <v>17</v>
      </c>
      <c r="B61" s="2">
        <v>157.595</v>
      </c>
      <c r="C61" s="3">
        <v>2.2067579916218776</v>
      </c>
      <c r="D61" s="17">
        <v>-36.740818704466733</v>
      </c>
      <c r="E61" s="17">
        <v>-292.23105452810194</v>
      </c>
      <c r="F61" s="17">
        <v>1.6954951076319276</v>
      </c>
      <c r="G61" s="3" t="s">
        <v>15</v>
      </c>
      <c r="H61" s="17">
        <f t="shared" si="3"/>
        <v>-35.788523380583413</v>
      </c>
      <c r="I61" s="17">
        <v>-0.38481247666645502</v>
      </c>
      <c r="J61" s="17">
        <f t="shared" si="5"/>
        <v>-36.356006227800279</v>
      </c>
      <c r="K61" s="17">
        <f t="shared" si="6"/>
        <v>-35.307507784750349</v>
      </c>
      <c r="L61" s="17">
        <f t="shared" si="4"/>
        <v>2.9299922152496549</v>
      </c>
      <c r="M61" s="17">
        <f t="shared" si="7"/>
        <v>0.43949883228744813</v>
      </c>
    </row>
    <row r="62" spans="1:13" x14ac:dyDescent="0.2">
      <c r="A62" s="3" t="s">
        <v>12</v>
      </c>
      <c r="B62" s="2">
        <v>186.67</v>
      </c>
      <c r="C62" s="3">
        <v>2.2599999999999998</v>
      </c>
      <c r="D62" s="17">
        <v>-35.700000000000003</v>
      </c>
      <c r="E62" s="17">
        <v>-283.7</v>
      </c>
      <c r="F62" s="17">
        <v>1.9000000000000341</v>
      </c>
      <c r="G62" s="3" t="s">
        <v>15</v>
      </c>
      <c r="H62" s="17">
        <f t="shared" si="3"/>
        <v>-34.487500000000004</v>
      </c>
      <c r="I62" s="17">
        <v>-0.39839814000000001</v>
      </c>
      <c r="J62" s="17">
        <f t="shared" si="5"/>
        <v>-35.301601860000005</v>
      </c>
      <c r="K62" s="17">
        <f t="shared" si="6"/>
        <v>-33.989502325000004</v>
      </c>
      <c r="L62" s="17">
        <f t="shared" si="4"/>
        <v>4.2479976750000006</v>
      </c>
      <c r="M62" s="17">
        <f t="shared" si="7"/>
        <v>0.63719965124999944</v>
      </c>
    </row>
    <row r="63" spans="1:13" x14ac:dyDescent="0.2">
      <c r="A63" s="3" t="s">
        <v>17</v>
      </c>
      <c r="B63" s="2">
        <v>143.61500000000001</v>
      </c>
      <c r="C63" s="3">
        <v>2.2992041718109903</v>
      </c>
      <c r="D63" s="17">
        <v>-35.839729885712089</v>
      </c>
      <c r="E63" s="17">
        <v>-282.10042570214341</v>
      </c>
      <c r="F63" s="17">
        <v>4.6174133835532984</v>
      </c>
      <c r="G63" s="3" t="s">
        <v>15</v>
      </c>
      <c r="H63" s="17">
        <f t="shared" si="3"/>
        <v>-34.662162357140112</v>
      </c>
      <c r="I63" s="17">
        <v>-0.40364288511468799</v>
      </c>
      <c r="J63" s="17">
        <f t="shared" si="5"/>
        <v>-35.436087000597404</v>
      </c>
      <c r="K63" s="17">
        <f t="shared" si="6"/>
        <v>-34.157608750746753</v>
      </c>
      <c r="L63" s="17">
        <f t="shared" si="4"/>
        <v>4.0798912492532509</v>
      </c>
      <c r="M63" s="17">
        <f t="shared" si="7"/>
        <v>0.61198368738798714</v>
      </c>
    </row>
    <row r="64" spans="1:13" x14ac:dyDescent="0.2">
      <c r="A64" s="3" t="s">
        <v>18</v>
      </c>
      <c r="B64" s="2">
        <v>184.2</v>
      </c>
      <c r="C64" s="3">
        <v>2.5605680310968424</v>
      </c>
      <c r="D64" s="17">
        <v>-35.857961952032532</v>
      </c>
      <c r="E64" s="17">
        <v>-283.38226407356098</v>
      </c>
      <c r="F64" s="17">
        <v>3.4814315426992835</v>
      </c>
      <c r="G64" s="3" t="s">
        <v>15</v>
      </c>
      <c r="H64" s="17">
        <f t="shared" si="3"/>
        <v>-34.684952440040661</v>
      </c>
      <c r="I64" s="17">
        <v>-0.43430145571363998</v>
      </c>
      <c r="J64" s="17">
        <f t="shared" si="5"/>
        <v>-35.423660496318895</v>
      </c>
      <c r="K64" s="17">
        <f t="shared" si="6"/>
        <v>-34.142075620398614</v>
      </c>
      <c r="L64" s="17">
        <f t="shared" si="4"/>
        <v>4.0954243796013898</v>
      </c>
      <c r="M64" s="17">
        <f t="shared" si="7"/>
        <v>0.61431365694020745</v>
      </c>
    </row>
    <row r="65" spans="1:14" x14ac:dyDescent="0.2">
      <c r="A65" s="3" t="s">
        <v>18</v>
      </c>
      <c r="B65" s="2">
        <v>192.08</v>
      </c>
      <c r="C65" s="3">
        <v>2.5756824658023363</v>
      </c>
      <c r="D65" s="17">
        <v>-35.76521209971915</v>
      </c>
      <c r="E65" s="17">
        <v>-282.31443441285785</v>
      </c>
      <c r="F65" s="17">
        <v>3.8072623848953526</v>
      </c>
      <c r="G65" s="3" t="s">
        <v>15</v>
      </c>
      <c r="H65" s="17">
        <f t="shared" si="3"/>
        <v>-34.569015124648935</v>
      </c>
      <c r="I65" s="17">
        <v>-0.43921441722729598</v>
      </c>
      <c r="J65" s="17">
        <f t="shared" si="5"/>
        <v>-35.325997682491852</v>
      </c>
      <c r="K65" s="17">
        <f t="shared" si="6"/>
        <v>-34.019997103114811</v>
      </c>
      <c r="L65" s="17">
        <f t="shared" si="4"/>
        <v>4.2175028968851933</v>
      </c>
      <c r="M65" s="17">
        <f t="shared" si="7"/>
        <v>0.63262543453277797</v>
      </c>
    </row>
    <row r="66" spans="1:14" x14ac:dyDescent="0.2">
      <c r="A66" s="3" t="s">
        <v>17</v>
      </c>
      <c r="B66" s="2">
        <v>153.035</v>
      </c>
      <c r="C66" s="3">
        <v>2.606481747627595</v>
      </c>
      <c r="D66" s="17">
        <v>-36.349075533679041</v>
      </c>
      <c r="E66" s="17">
        <v>-287.38075490669155</v>
      </c>
      <c r="F66" s="17">
        <v>3.4118493627407815</v>
      </c>
      <c r="G66" s="3" t="s">
        <v>15</v>
      </c>
      <c r="H66" s="17">
        <f t="shared" ref="H66:H87" si="8">(D66+8.11)/0.8</f>
        <v>-35.298844417098799</v>
      </c>
      <c r="I66" s="17">
        <v>-0.44992821485447498</v>
      </c>
      <c r="J66" s="17">
        <f t="shared" ref="J66:J87" si="9">D66-I66</f>
        <v>-35.899147318824568</v>
      </c>
      <c r="K66" s="17">
        <f t="shared" ref="K66:K87" si="10">(J66+8.11)/0.8</f>
        <v>-34.736434148530705</v>
      </c>
      <c r="L66" s="17">
        <f t="shared" si="4"/>
        <v>3.5010658514692992</v>
      </c>
      <c r="M66" s="17">
        <f t="shared" ref="M66:M86" si="11">SQRT((((J66-J$2)/(N$2^2))*O$2)^2)</f>
        <v>0.52515987772039396</v>
      </c>
      <c r="N66" s="18"/>
    </row>
    <row r="67" spans="1:14" x14ac:dyDescent="0.2">
      <c r="A67" s="3" t="s">
        <v>17</v>
      </c>
      <c r="B67" s="2">
        <v>148.435</v>
      </c>
      <c r="C67" s="3">
        <v>2.6745125389410709</v>
      </c>
      <c r="D67" s="17">
        <v>-35.31703529608987</v>
      </c>
      <c r="E67" s="17">
        <v>-278.5677343495928</v>
      </c>
      <c r="F67" s="17">
        <v>3.9685480191261604</v>
      </c>
      <c r="G67" s="3" t="s">
        <v>15</v>
      </c>
      <c r="H67" s="17">
        <f t="shared" si="8"/>
        <v>-34.008794120112334</v>
      </c>
      <c r="I67" s="17">
        <v>-0.47418017655852102</v>
      </c>
      <c r="J67" s="17">
        <f t="shared" si="9"/>
        <v>-34.84285511953135</v>
      </c>
      <c r="K67" s="17">
        <f t="shared" si="10"/>
        <v>-33.416068899414185</v>
      </c>
      <c r="L67" s="17">
        <f t="shared" ref="L67:L87" si="12">K67-K$2</f>
        <v>4.8214311005858193</v>
      </c>
      <c r="M67" s="17">
        <f t="shared" si="11"/>
        <v>0.72321466508787224</v>
      </c>
    </row>
    <row r="68" spans="1:14" x14ac:dyDescent="0.2">
      <c r="A68" s="3" t="s">
        <v>17</v>
      </c>
      <c r="B68" s="2">
        <v>158.745</v>
      </c>
      <c r="C68" s="3">
        <v>2.6844022310854116</v>
      </c>
      <c r="D68" s="17">
        <v>-35.966791880078958</v>
      </c>
      <c r="E68" s="17">
        <v>-284.7833148225148</v>
      </c>
      <c r="F68" s="17">
        <v>2.9510202181168665</v>
      </c>
      <c r="G68" s="3" t="s">
        <v>15</v>
      </c>
      <c r="H68" s="17">
        <f t="shared" si="8"/>
        <v>-34.820989850098698</v>
      </c>
      <c r="I68" s="17">
        <v>-0.47854610751367199</v>
      </c>
      <c r="J68" s="17">
        <f t="shared" si="9"/>
        <v>-35.488245772565286</v>
      </c>
      <c r="K68" s="17">
        <f t="shared" si="10"/>
        <v>-34.222807215706602</v>
      </c>
      <c r="L68" s="17">
        <f t="shared" si="12"/>
        <v>4.0146927842934019</v>
      </c>
      <c r="M68" s="17">
        <f t="shared" si="11"/>
        <v>0.60220391764400927</v>
      </c>
    </row>
    <row r="69" spans="1:14" x14ac:dyDescent="0.2">
      <c r="A69" s="3" t="s">
        <v>16</v>
      </c>
      <c r="B69" s="2">
        <v>146.47999999999999</v>
      </c>
      <c r="C69" s="3">
        <v>2.69</v>
      </c>
      <c r="D69" s="17">
        <v>-35.900000000000006</v>
      </c>
      <c r="E69" s="17">
        <v>-284.7</v>
      </c>
      <c r="F69" s="17">
        <v>2.5000000000000568</v>
      </c>
      <c r="G69" s="3" t="s">
        <v>15</v>
      </c>
      <c r="H69" s="17">
        <f t="shared" si="8"/>
        <v>-34.737500000000004</v>
      </c>
      <c r="I69" s="17">
        <v>-0.48118830000000001</v>
      </c>
      <c r="J69" s="17">
        <f t="shared" si="9"/>
        <v>-35.418811700000006</v>
      </c>
      <c r="K69" s="17">
        <f t="shared" si="10"/>
        <v>-34.136014625000008</v>
      </c>
      <c r="L69" s="17">
        <f t="shared" si="12"/>
        <v>4.1014853749999958</v>
      </c>
      <c r="M69" s="17">
        <f t="shared" si="11"/>
        <v>0.61522280624999925</v>
      </c>
    </row>
    <row r="70" spans="1:14" x14ac:dyDescent="0.2">
      <c r="A70" s="3" t="s">
        <v>17</v>
      </c>
      <c r="B70" s="2">
        <v>159.405</v>
      </c>
      <c r="C70" s="3">
        <v>2.7653316620317043</v>
      </c>
      <c r="D70" s="17">
        <v>-36.041337192530975</v>
      </c>
      <c r="E70" s="17">
        <v>-285.3659450292418</v>
      </c>
      <c r="F70" s="17">
        <v>2.9647525110059973</v>
      </c>
      <c r="G70" s="3" t="s">
        <v>15</v>
      </c>
      <c r="H70" s="17">
        <f t="shared" si="8"/>
        <v>-34.914171490663719</v>
      </c>
      <c r="I70" s="17">
        <v>-0.52095463481153303</v>
      </c>
      <c r="J70" s="17">
        <f t="shared" si="9"/>
        <v>-35.520382557719444</v>
      </c>
      <c r="K70" s="17">
        <f t="shared" si="10"/>
        <v>-34.262978197149302</v>
      </c>
      <c r="L70" s="17">
        <f t="shared" si="12"/>
        <v>3.9745218028507026</v>
      </c>
      <c r="M70" s="17">
        <f t="shared" si="11"/>
        <v>0.59617827042760474</v>
      </c>
    </row>
    <row r="71" spans="1:14" x14ac:dyDescent="0.2">
      <c r="A71" s="3" t="s">
        <v>17</v>
      </c>
      <c r="B71" s="2">
        <v>159.405</v>
      </c>
      <c r="C71" s="3">
        <v>2.8109771022286485</v>
      </c>
      <c r="D71" s="17">
        <v>-35.905132103936388</v>
      </c>
      <c r="E71" s="17">
        <v>-284.46460889286811</v>
      </c>
      <c r="F71" s="17">
        <v>2.7764479386229937</v>
      </c>
      <c r="G71" s="3" t="s">
        <v>15</v>
      </c>
      <c r="H71" s="17">
        <f t="shared" si="8"/>
        <v>-34.743915129920481</v>
      </c>
      <c r="I71" s="17">
        <v>-0.54036318721550902</v>
      </c>
      <c r="J71" s="17">
        <f t="shared" si="9"/>
        <v>-35.364768916720877</v>
      </c>
      <c r="K71" s="17">
        <f t="shared" si="10"/>
        <v>-34.068461145901097</v>
      </c>
      <c r="L71" s="17">
        <f t="shared" si="12"/>
        <v>4.1690388540989076</v>
      </c>
      <c r="M71" s="17">
        <f t="shared" si="11"/>
        <v>0.62535582811483603</v>
      </c>
    </row>
    <row r="72" spans="1:14" x14ac:dyDescent="0.2">
      <c r="A72" s="3" t="s">
        <v>17</v>
      </c>
      <c r="B72" s="2">
        <v>158.80499999999998</v>
      </c>
      <c r="C72" s="3">
        <v>2.8288459469170673</v>
      </c>
      <c r="D72" s="17">
        <v>-35.848492163462971</v>
      </c>
      <c r="E72" s="17">
        <v>-283.52189800227774</v>
      </c>
      <c r="F72" s="17">
        <v>3.2660393054260339</v>
      </c>
      <c r="G72" s="3" t="s">
        <v>15</v>
      </c>
      <c r="H72" s="17">
        <f t="shared" si="8"/>
        <v>-34.67311520432871</v>
      </c>
      <c r="I72" s="17">
        <v>-0.54811593051188001</v>
      </c>
      <c r="J72" s="17">
        <f t="shared" si="9"/>
        <v>-35.300376232951095</v>
      </c>
      <c r="K72" s="17">
        <f t="shared" si="10"/>
        <v>-33.987970291188866</v>
      </c>
      <c r="L72" s="17">
        <f t="shared" si="12"/>
        <v>4.2495297088111386</v>
      </c>
      <c r="M72" s="17">
        <f t="shared" si="11"/>
        <v>0.63742945632167014</v>
      </c>
    </row>
    <row r="73" spans="1:14" x14ac:dyDescent="0.2">
      <c r="A73" s="3" t="s">
        <v>17</v>
      </c>
      <c r="B73" s="2">
        <v>148.435</v>
      </c>
      <c r="C73" s="3">
        <v>2.8676741631519027</v>
      </c>
      <c r="D73" s="17">
        <v>-34.592798199139828</v>
      </c>
      <c r="E73" s="17">
        <v>-273.80641621373542</v>
      </c>
      <c r="F73" s="17">
        <v>2.9359693793832093</v>
      </c>
      <c r="G73" s="3" t="s">
        <v>15</v>
      </c>
      <c r="H73" s="17">
        <f t="shared" si="8"/>
        <v>-33.103497748924781</v>
      </c>
      <c r="I73" s="17">
        <v>-0.56541007164576096</v>
      </c>
      <c r="J73" s="17">
        <f t="shared" si="9"/>
        <v>-34.027388127494071</v>
      </c>
      <c r="K73" s="17">
        <f t="shared" si="10"/>
        <v>-32.396735159367587</v>
      </c>
      <c r="L73" s="17">
        <f t="shared" si="12"/>
        <v>5.8407648406324171</v>
      </c>
      <c r="M73" s="17">
        <f t="shared" si="11"/>
        <v>0.87611472609486207</v>
      </c>
      <c r="N73" s="18"/>
    </row>
    <row r="74" spans="1:14" x14ac:dyDescent="0.2">
      <c r="A74" s="3" t="s">
        <v>17</v>
      </c>
      <c r="B74" s="2">
        <v>158.92499999999998</v>
      </c>
      <c r="C74" s="3">
        <v>2.8909967877511664</v>
      </c>
      <c r="D74" s="17">
        <v>-35.860089362852754</v>
      </c>
      <c r="E74" s="17">
        <v>-284.35189813383533</v>
      </c>
      <c r="F74" s="17">
        <v>2.5288167689867009</v>
      </c>
      <c r="G74" s="3" t="s">
        <v>15</v>
      </c>
      <c r="H74" s="17">
        <f t="shared" si="8"/>
        <v>-34.687611703565942</v>
      </c>
      <c r="I74" s="17">
        <v>-0.57508878375372596</v>
      </c>
      <c r="J74" s="17">
        <f t="shared" si="9"/>
        <v>-35.285000579099027</v>
      </c>
      <c r="K74" s="17">
        <f t="shared" si="10"/>
        <v>-33.968750723873782</v>
      </c>
      <c r="L74" s="17">
        <f t="shared" si="12"/>
        <v>4.268749276126222</v>
      </c>
      <c r="M74" s="17">
        <f t="shared" si="11"/>
        <v>0.64031239141893281</v>
      </c>
    </row>
    <row r="75" spans="1:14" x14ac:dyDescent="0.2">
      <c r="A75" s="3" t="s">
        <v>17</v>
      </c>
      <c r="B75" s="2">
        <v>159.11500000000001</v>
      </c>
      <c r="C75" s="3">
        <v>2.8954580083444466</v>
      </c>
      <c r="D75" s="17">
        <v>-35.924299227801754</v>
      </c>
      <c r="E75" s="17">
        <v>-284.96939895896372</v>
      </c>
      <c r="F75" s="17">
        <v>2.4249948634503085</v>
      </c>
      <c r="G75" s="3" t="s">
        <v>15</v>
      </c>
      <c r="H75" s="17">
        <f t="shared" si="8"/>
        <v>-34.76787403475219</v>
      </c>
      <c r="I75" s="17">
        <v>-0.57680852621823298</v>
      </c>
      <c r="J75" s="17">
        <f t="shared" si="9"/>
        <v>-35.347490701583524</v>
      </c>
      <c r="K75" s="17">
        <f t="shared" si="10"/>
        <v>-34.046863376979402</v>
      </c>
      <c r="L75" s="17">
        <f t="shared" si="12"/>
        <v>4.1906366230206018</v>
      </c>
      <c r="M75" s="17">
        <f t="shared" si="11"/>
        <v>0.62859549345308963</v>
      </c>
    </row>
    <row r="76" spans="1:14" x14ac:dyDescent="0.2">
      <c r="A76" s="3" t="s">
        <v>17</v>
      </c>
      <c r="B76" s="2">
        <v>159.5</v>
      </c>
      <c r="C76" s="3">
        <v>3.0038167204401742</v>
      </c>
      <c r="D76" s="17">
        <v>-35.636792369821137</v>
      </c>
      <c r="E76" s="17">
        <v>-282.27204746074307</v>
      </c>
      <c r="F76" s="17">
        <v>2.8222914978260292</v>
      </c>
      <c r="G76" s="3" t="s">
        <v>15</v>
      </c>
      <c r="H76" s="17">
        <f t="shared" si="8"/>
        <v>-34.408490462276418</v>
      </c>
      <c r="I76" s="17">
        <v>-0.60132254153518805</v>
      </c>
      <c r="J76" s="17">
        <f t="shared" si="9"/>
        <v>-35.035469828285947</v>
      </c>
      <c r="K76" s="17">
        <f t="shared" si="10"/>
        <v>-33.656837285357433</v>
      </c>
      <c r="L76" s="17">
        <f t="shared" si="12"/>
        <v>4.5806627146425711</v>
      </c>
      <c r="M76" s="17">
        <f t="shared" si="11"/>
        <v>0.68709940719638518</v>
      </c>
      <c r="N76" s="18"/>
    </row>
    <row r="77" spans="1:14" x14ac:dyDescent="0.2">
      <c r="A77" s="3" t="s">
        <v>17</v>
      </c>
      <c r="B77" s="2">
        <v>158.80499999999998</v>
      </c>
      <c r="C77" s="3">
        <v>3.064977777832198</v>
      </c>
      <c r="D77" s="17">
        <v>-35.701104740826906</v>
      </c>
      <c r="E77" s="17">
        <v>-282.28824162195019</v>
      </c>
      <c r="F77" s="17">
        <v>3.3205963046650595</v>
      </c>
      <c r="G77" s="3" t="s">
        <v>15</v>
      </c>
      <c r="H77" s="17">
        <f t="shared" si="8"/>
        <v>-34.48888092603363</v>
      </c>
      <c r="I77" s="17">
        <v>-0.60941802533838896</v>
      </c>
      <c r="J77" s="17">
        <f t="shared" si="9"/>
        <v>-35.091686715488521</v>
      </c>
      <c r="K77" s="17">
        <f t="shared" si="10"/>
        <v>-33.727108394360648</v>
      </c>
      <c r="L77" s="17">
        <f t="shared" si="12"/>
        <v>4.5103916056393558</v>
      </c>
      <c r="M77" s="17">
        <f t="shared" si="11"/>
        <v>0.67655874084590273</v>
      </c>
    </row>
    <row r="78" spans="1:14" x14ac:dyDescent="0.2">
      <c r="A78" s="3" t="s">
        <v>18</v>
      </c>
      <c r="B78" s="2">
        <v>200.92</v>
      </c>
      <c r="C78" s="3">
        <v>3.7027190473126406</v>
      </c>
      <c r="D78" s="17">
        <v>-34.214006656357583</v>
      </c>
      <c r="E78" s="17">
        <v>-270.44285334580144</v>
      </c>
      <c r="F78" s="17">
        <v>3.2691999050592244</v>
      </c>
      <c r="G78" s="3" t="s">
        <v>15</v>
      </c>
      <c r="H78" s="17">
        <f t="shared" si="8"/>
        <v>-32.630008320446976</v>
      </c>
      <c r="I78" s="17">
        <v>-0.74762922989814895</v>
      </c>
      <c r="J78" s="17">
        <f t="shared" si="9"/>
        <v>-33.466377426459431</v>
      </c>
      <c r="K78" s="17">
        <f t="shared" si="10"/>
        <v>-31.695471783074289</v>
      </c>
      <c r="L78" s="17">
        <f t="shared" si="12"/>
        <v>6.5420282169257149</v>
      </c>
      <c r="M78" s="17">
        <f t="shared" si="11"/>
        <v>0.98130423253885701</v>
      </c>
    </row>
    <row r="79" spans="1:14" x14ac:dyDescent="0.2">
      <c r="A79" s="3" t="s">
        <v>17</v>
      </c>
      <c r="B79" s="2">
        <v>159.67500000000001</v>
      </c>
      <c r="C79" s="3">
        <v>3.9876967412151361</v>
      </c>
      <c r="D79" s="17">
        <v>-34.308636532588608</v>
      </c>
      <c r="E79" s="17">
        <v>-270.67773228067244</v>
      </c>
      <c r="F79" s="17">
        <v>3.7913599800364182</v>
      </c>
      <c r="G79" s="3" t="s">
        <v>15</v>
      </c>
      <c r="H79" s="17">
        <f t="shared" si="8"/>
        <v>-32.74829566573576</v>
      </c>
      <c r="I79" s="17">
        <v>-0.73321640391959897</v>
      </c>
      <c r="J79" s="17">
        <f t="shared" si="9"/>
        <v>-33.575420128669009</v>
      </c>
      <c r="K79" s="17">
        <f t="shared" si="10"/>
        <v>-31.831775160836262</v>
      </c>
      <c r="L79" s="17">
        <f t="shared" si="12"/>
        <v>6.4057248391637422</v>
      </c>
      <c r="M79" s="17">
        <f t="shared" si="11"/>
        <v>0.96085872587456123</v>
      </c>
    </row>
    <row r="80" spans="1:14" x14ac:dyDescent="0.2">
      <c r="A80" s="3" t="s">
        <v>18</v>
      </c>
      <c r="B80" s="2">
        <v>203.27</v>
      </c>
      <c r="C80" s="3">
        <v>4.3194987248578105</v>
      </c>
      <c r="D80" s="17">
        <v>-33.759372587207665</v>
      </c>
      <c r="E80" s="17">
        <v>-266.01087128575591</v>
      </c>
      <c r="F80" s="17">
        <v>4.064109411905406</v>
      </c>
      <c r="G80" s="3" t="s">
        <v>15</v>
      </c>
      <c r="H80" s="17">
        <f t="shared" si="8"/>
        <v>-32.061715734009582</v>
      </c>
      <c r="I80" s="17">
        <v>-0.77982994531036198</v>
      </c>
      <c r="J80" s="17">
        <f t="shared" si="9"/>
        <v>-32.979542641897304</v>
      </c>
      <c r="K80" s="17">
        <f t="shared" si="10"/>
        <v>-31.086928302371629</v>
      </c>
      <c r="L80" s="17">
        <f t="shared" si="12"/>
        <v>7.1505716976283757</v>
      </c>
      <c r="M80" s="17">
        <f t="shared" si="11"/>
        <v>1.0725857546442559</v>
      </c>
    </row>
    <row r="81" spans="1:13" x14ac:dyDescent="0.2">
      <c r="A81" s="3" t="s">
        <v>18</v>
      </c>
      <c r="B81" s="2">
        <v>203.44</v>
      </c>
      <c r="C81" s="3">
        <v>4.372887807314159</v>
      </c>
      <c r="D81" s="17">
        <v>-33.773747930106694</v>
      </c>
      <c r="E81" s="17">
        <v>-266.17078569600744</v>
      </c>
      <c r="F81" s="17">
        <v>4.0191977448461103</v>
      </c>
      <c r="G81" s="3" t="s">
        <v>15</v>
      </c>
      <c r="H81" s="17">
        <f t="shared" si="8"/>
        <v>-32.079684912633368</v>
      </c>
      <c r="I81" s="17">
        <v>-0.780279340419331</v>
      </c>
      <c r="J81" s="17">
        <f t="shared" si="9"/>
        <v>-32.99346858968736</v>
      </c>
      <c r="K81" s="17">
        <f t="shared" si="10"/>
        <v>-31.104335737109199</v>
      </c>
      <c r="L81" s="17">
        <f t="shared" si="12"/>
        <v>7.133164262890805</v>
      </c>
      <c r="M81" s="17">
        <f t="shared" si="11"/>
        <v>1.0699746394336203</v>
      </c>
    </row>
    <row r="82" spans="1:13" x14ac:dyDescent="0.2">
      <c r="A82" s="3" t="s">
        <v>18</v>
      </c>
      <c r="B82" s="2">
        <v>202.4</v>
      </c>
      <c r="C82" s="3">
        <v>4.5478338794616402</v>
      </c>
      <c r="D82" s="17">
        <v>-33.682704091746167</v>
      </c>
      <c r="E82" s="17">
        <v>-265.24019942912139</v>
      </c>
      <c r="F82" s="17">
        <v>4.2214333048479489</v>
      </c>
      <c r="G82" s="3" t="s">
        <v>15</v>
      </c>
      <c r="H82" s="17">
        <f t="shared" si="8"/>
        <v>-31.965880114682708</v>
      </c>
      <c r="I82" s="17">
        <v>-0.77365982429491298</v>
      </c>
      <c r="J82" s="17">
        <f t="shared" si="9"/>
        <v>-32.909044267451257</v>
      </c>
      <c r="K82" s="17">
        <f t="shared" si="10"/>
        <v>-30.998805334314071</v>
      </c>
      <c r="L82" s="17">
        <f t="shared" si="12"/>
        <v>7.2386946656859337</v>
      </c>
      <c r="M82" s="17">
        <f t="shared" si="11"/>
        <v>1.0858041998528896</v>
      </c>
    </row>
    <row r="83" spans="1:13" x14ac:dyDescent="0.2">
      <c r="A83" s="3" t="s">
        <v>18</v>
      </c>
      <c r="B83" s="2">
        <v>204.03</v>
      </c>
      <c r="C83" s="3">
        <v>4.6261572752475377</v>
      </c>
      <c r="D83" s="17">
        <v>-33.506366552184723</v>
      </c>
      <c r="E83" s="17">
        <v>-263.65454208409597</v>
      </c>
      <c r="F83" s="17">
        <v>4.3963903333818166</v>
      </c>
      <c r="G83" s="3" t="s">
        <v>15</v>
      </c>
      <c r="H83" s="17">
        <f t="shared" si="8"/>
        <v>-31.745458190230902</v>
      </c>
      <c r="I83" s="17">
        <v>-0.76439319235009795</v>
      </c>
      <c r="J83" s="17">
        <f t="shared" si="9"/>
        <v>-32.741973359834624</v>
      </c>
      <c r="K83" s="17">
        <f t="shared" si="10"/>
        <v>-30.789966699793279</v>
      </c>
      <c r="L83" s="17">
        <f t="shared" si="12"/>
        <v>7.4475333002067252</v>
      </c>
      <c r="M83" s="17">
        <f t="shared" si="11"/>
        <v>1.1171299950310083</v>
      </c>
    </row>
    <row r="84" spans="1:13" x14ac:dyDescent="0.2">
      <c r="A84" s="3" t="s">
        <v>18</v>
      </c>
      <c r="B84" s="2">
        <v>204.67</v>
      </c>
      <c r="C84" s="3">
        <v>5.3271590113876464</v>
      </c>
      <c r="D84" s="17">
        <v>-32.810583990349357</v>
      </c>
      <c r="E84" s="17">
        <v>-258.2092113869985</v>
      </c>
      <c r="F84" s="17">
        <v>4.2754605357963555</v>
      </c>
      <c r="G84" s="3" t="s">
        <v>15</v>
      </c>
      <c r="H84" s="17">
        <f t="shared" si="8"/>
        <v>-30.875729987936698</v>
      </c>
      <c r="I84" s="17">
        <v>-0.80298921000000001</v>
      </c>
      <c r="J84" s="17">
        <f t="shared" si="9"/>
        <v>-32.007594780349358</v>
      </c>
      <c r="K84" s="17">
        <f t="shared" si="10"/>
        <v>-29.871993475436696</v>
      </c>
      <c r="L84" s="17">
        <f t="shared" si="12"/>
        <v>8.3655065245633082</v>
      </c>
      <c r="M84" s="17">
        <f t="shared" si="11"/>
        <v>1.2548259786844957</v>
      </c>
    </row>
    <row r="85" spans="1:13" x14ac:dyDescent="0.2">
      <c r="A85" s="3" t="s">
        <v>18</v>
      </c>
      <c r="B85" s="2">
        <v>204.98</v>
      </c>
      <c r="C85" s="3">
        <v>5.6886680759248733</v>
      </c>
      <c r="D85" s="17">
        <v>-32.481035348128799</v>
      </c>
      <c r="E85" s="17">
        <v>-255.92567421260898</v>
      </c>
      <c r="F85" s="17">
        <v>3.9226085724214101</v>
      </c>
      <c r="G85" s="3" t="s">
        <v>15</v>
      </c>
      <c r="H85" s="17">
        <f t="shared" si="8"/>
        <v>-30.463794185160999</v>
      </c>
      <c r="I85" s="17">
        <v>-0.72628556361986896</v>
      </c>
      <c r="J85" s="17">
        <f t="shared" si="9"/>
        <v>-31.754749784508931</v>
      </c>
      <c r="K85" s="17">
        <f t="shared" si="10"/>
        <v>-29.555937230636165</v>
      </c>
      <c r="L85" s="17">
        <f t="shared" si="12"/>
        <v>8.6815627693638397</v>
      </c>
      <c r="M85" s="17">
        <f t="shared" si="11"/>
        <v>1.3022344154045755</v>
      </c>
    </row>
    <row r="86" spans="1:13" x14ac:dyDescent="0.2">
      <c r="A86" s="3" t="s">
        <v>18</v>
      </c>
      <c r="B86" s="2">
        <v>205.45</v>
      </c>
      <c r="C86" s="3">
        <v>5.9919909832161657</v>
      </c>
      <c r="D86" s="17">
        <v>-29.500892885289467</v>
      </c>
      <c r="E86" s="17">
        <v>-231.11357998123285</v>
      </c>
      <c r="F86" s="17">
        <v>4.8935631010828899</v>
      </c>
      <c r="G86" s="3" t="s">
        <v>15</v>
      </c>
      <c r="H86" s="17">
        <f t="shared" si="8"/>
        <v>-26.738616106611833</v>
      </c>
      <c r="I86" s="17">
        <v>-0.76536727163787999</v>
      </c>
      <c r="J86" s="17">
        <f t="shared" si="9"/>
        <v>-28.735525613651586</v>
      </c>
      <c r="K86" s="17">
        <f t="shared" si="10"/>
        <v>-25.78190701706448</v>
      </c>
      <c r="L86" s="17">
        <f t="shared" si="12"/>
        <v>12.455592982935524</v>
      </c>
      <c r="M86" s="17">
        <f t="shared" si="11"/>
        <v>1.8683389474403278</v>
      </c>
    </row>
    <row r="87" spans="1:13" x14ac:dyDescent="0.2">
      <c r="A87" s="3" t="s">
        <v>18</v>
      </c>
      <c r="B87" s="2">
        <v>206.36</v>
      </c>
      <c r="C87" s="3" t="s">
        <v>13</v>
      </c>
      <c r="D87" s="17">
        <v>-25.458091241113799</v>
      </c>
      <c r="E87" s="17">
        <v>-193.27197143713266</v>
      </c>
      <c r="F87" s="17">
        <v>10.392758491777727</v>
      </c>
      <c r="G87" s="3" t="s">
        <v>15</v>
      </c>
      <c r="H87" s="17">
        <f t="shared" si="8"/>
        <v>-21.685114051392247</v>
      </c>
      <c r="I87" s="17">
        <v>-0.98732142000000001</v>
      </c>
      <c r="J87" s="17">
        <f t="shared" si="9"/>
        <v>-24.470769821113798</v>
      </c>
      <c r="K87" s="17">
        <f t="shared" si="10"/>
        <v>-20.450962276392247</v>
      </c>
      <c r="L87" s="17">
        <f t="shared" si="12"/>
        <v>17.786537723607758</v>
      </c>
      <c r="M87" s="17">
        <f>SQRT((((J87-J$2)/(N$2^2))*O$2)^2+(1.5*0.6/0.8)^2^2)</f>
        <v>2.9529523252119625</v>
      </c>
    </row>
    <row r="89" spans="1:13" x14ac:dyDescent="0.2">
      <c r="L89" s="18"/>
    </row>
    <row r="90" spans="1:13" x14ac:dyDescent="0.2">
      <c r="H90" s="18"/>
      <c r="L90" s="18"/>
    </row>
    <row r="91" spans="1:13" x14ac:dyDescent="0.2">
      <c r="K91" s="18"/>
      <c r="L9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Ar and Water isotopes</vt:lpstr>
      <vt:lpstr>Calculated Temperatures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A. Higgins</dc:creator>
  <cp:lastModifiedBy>Brad Lipovsky</cp:lastModifiedBy>
  <dcterms:created xsi:type="dcterms:W3CDTF">2025-02-04T16:28:40Z</dcterms:created>
  <dcterms:modified xsi:type="dcterms:W3CDTF">2026-08-03T12:12:19Z</dcterms:modified>
</cp:coreProperties>
</file>